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my_workspace\work\programming\c_language\pvan\Advanced_C\"/>
    </mc:Choice>
  </mc:AlternateContent>
  <xr:revisionPtr revIDLastSave="0" documentId="8_{09F518B2-AD20-4887-9548-3F627899EBF3}" xr6:coauthVersionLast="47" xr6:coauthVersionMax="47" xr10:uidLastSave="{00000000-0000-0000-0000-000000000000}"/>
  <bookViews>
    <workbookView xWindow="-110" yWindow="-110" windowWidth="19420" windowHeight="11500" activeTab="3" xr2:uid="{B7B06F3A-4A21-44FD-8DD4-F9071F9AE08F}"/>
  </bookViews>
  <sheets>
    <sheet name="Trading recorded" sheetId="1" r:id="rId1"/>
    <sheet name="March 2026" sheetId="2" r:id="rId2"/>
    <sheet name="ETFs" sheetId="3" r:id="rId3"/>
    <sheet name="Productivit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4" l="1"/>
  <c r="D14" i="4"/>
  <c r="D31" i="4"/>
  <c r="D30" i="4"/>
  <c r="C42" i="4"/>
  <c r="C41" i="4"/>
  <c r="C43" i="4" s="1"/>
  <c r="D43" i="4" s="1"/>
  <c r="C46" i="4" s="1"/>
  <c r="D46" i="4" s="1"/>
  <c r="D38" i="4"/>
  <c r="C31" i="4"/>
  <c r="C30" i="4"/>
  <c r="C25" i="4"/>
  <c r="C26" i="4"/>
  <c r="C27" i="4"/>
  <c r="D27" i="4" s="1"/>
  <c r="D22" i="4"/>
  <c r="C9" i="4"/>
  <c r="C8" i="4"/>
  <c r="C10" i="4" s="1"/>
  <c r="D10" i="4" s="1"/>
  <c r="D5" i="4"/>
  <c r="H19" i="3"/>
  <c r="H20" i="3"/>
  <c r="H21" i="3"/>
  <c r="H22" i="3"/>
  <c r="H23" i="3"/>
  <c r="H24" i="3"/>
  <c r="H18" i="3"/>
  <c r="H7" i="3"/>
  <c r="H8" i="3"/>
  <c r="H9" i="3"/>
  <c r="H10" i="3"/>
  <c r="H11" i="3"/>
  <c r="H12" i="3"/>
  <c r="H6" i="3"/>
  <c r="K7" i="3"/>
  <c r="K6" i="3"/>
  <c r="D21" i="3"/>
  <c r="G24" i="3"/>
  <c r="F24" i="3"/>
  <c r="D24" i="3"/>
  <c r="I24" i="3" s="1"/>
  <c r="G23" i="3"/>
  <c r="F23" i="3"/>
  <c r="D23" i="3"/>
  <c r="I23" i="3" s="1"/>
  <c r="G22" i="3"/>
  <c r="F22" i="3"/>
  <c r="D22" i="3"/>
  <c r="I22" i="3" s="1"/>
  <c r="G21" i="3"/>
  <c r="F21" i="3"/>
  <c r="G20" i="3"/>
  <c r="F20" i="3"/>
  <c r="D20" i="3"/>
  <c r="G19" i="3"/>
  <c r="F19" i="3"/>
  <c r="D19" i="3"/>
  <c r="D18" i="3"/>
  <c r="I18" i="3" s="1"/>
  <c r="D12" i="3"/>
  <c r="I12" i="3" s="1"/>
  <c r="D11" i="3"/>
  <c r="D10" i="3"/>
  <c r="D9" i="3"/>
  <c r="I9" i="3" s="1"/>
  <c r="I7" i="3"/>
  <c r="D7" i="3"/>
  <c r="D6" i="3"/>
  <c r="I6" i="3" s="1"/>
  <c r="F8" i="3"/>
  <c r="G8" i="3"/>
  <c r="F9" i="3"/>
  <c r="G9" i="3"/>
  <c r="F10" i="3"/>
  <c r="G10" i="3"/>
  <c r="F11" i="3"/>
  <c r="G11" i="3"/>
  <c r="F12" i="3"/>
  <c r="G12" i="3"/>
  <c r="G7" i="3"/>
  <c r="F7" i="3"/>
  <c r="C47" i="4" l="1"/>
  <c r="D47" i="4" s="1"/>
  <c r="C15" i="4"/>
  <c r="C14" i="4"/>
  <c r="I10" i="3"/>
  <c r="I20" i="3"/>
  <c r="I11" i="3"/>
  <c r="K18" i="3"/>
  <c r="I21" i="3"/>
  <c r="K19" i="3"/>
  <c r="K23" i="3"/>
  <c r="K22" i="3"/>
  <c r="K21" i="3"/>
  <c r="K20" i="3"/>
  <c r="I19" i="3"/>
  <c r="D8" i="3"/>
  <c r="L24" i="3" l="1"/>
  <c r="K8" i="3"/>
  <c r="I8" i="3"/>
  <c r="K9" i="3"/>
  <c r="K10" i="3" l="1"/>
  <c r="K11" i="3" l="1"/>
  <c r="L12" i="3" s="1"/>
</calcChain>
</file>

<file path=xl/sharedStrings.xml><?xml version="1.0" encoding="utf-8"?>
<sst xmlns="http://schemas.openxmlformats.org/spreadsheetml/2006/main" count="774" uniqueCount="350">
  <si>
    <t>Trading theo cảm xúc quá nhiều.</t>
  </si>
  <si>
    <t>Không có planning cụ thể</t>
  </si>
  <si>
    <t>Overtrade</t>
  </si>
  <si>
    <t>Loss -$38</t>
  </si>
  <si>
    <t>Trade tổng cộng 2 lệnh</t>
  </si>
  <si>
    <t>Theo phương pháp breakout</t>
  </si>
  <si>
    <t>Trade khung m15</t>
  </si>
  <si>
    <t>1 lệnh thua -$10, 1 lệnh thắng +$15. TP là +$18 nhưng tính phí vào nên chỉ còn +$15</t>
  </si>
  <si>
    <t>Profit +$5</t>
  </si>
  <si>
    <t>No. Trades</t>
  </si>
  <si>
    <t>Trade date</t>
  </si>
  <si>
    <t>Symbol</t>
  </si>
  <si>
    <t>Stucture</t>
  </si>
  <si>
    <t>Session</t>
  </si>
  <si>
    <t>Result</t>
  </si>
  <si>
    <t>R/R Result</t>
  </si>
  <si>
    <t>Real RR</t>
  </si>
  <si>
    <t>Setup</t>
  </si>
  <si>
    <t>Trade</t>
  </si>
  <si>
    <t>Eg.</t>
  </si>
  <si>
    <t>Continue</t>
  </si>
  <si>
    <t>$SOL</t>
  </si>
  <si>
    <t>https://www.tradingview.com/x/aVaeT6uZ/?fbclid=IwY2xjawQTG7BleHRuA2FlbQIxMQBzcnRjBmFwcF9pZBAyMjIwMzkxNzg4MjAwODkyAAEeaQJoo65IGMCTzBqgWkH7wAXeVLp-6oDaT9Vxf4yQphwWj_36T-W9q9sxMwE_aem_oR99wkDt44vVSlylJBxRDg</t>
  </si>
  <si>
    <t>Chỉ trading từ khung thời gian m15 trở đi.</t>
  </si>
  <si>
    <t>Time Frame</t>
  </si>
  <si>
    <t>thường sẽ vào lệnh khung thời gian m15.</t>
  </si>
  <si>
    <t>System</t>
  </si>
  <si>
    <t>Breakout</t>
  </si>
  <si>
    <t>Volume + Market Structure</t>
  </si>
  <si>
    <t>$LINK</t>
  </si>
  <si>
    <t>4H</t>
  </si>
  <si>
    <t>Asian</t>
  </si>
  <si>
    <t>https://www.tradingview.com/x/owrWWnEw/</t>
  </si>
  <si>
    <t>Long</t>
  </si>
  <si>
    <t>Risk per Trade</t>
  </si>
  <si>
    <t>Lesson</t>
  </si>
  <si>
    <t>$ASTER</t>
  </si>
  <si>
    <t>15m</t>
  </si>
  <si>
    <t>-0.5R</t>
  </si>
  <si>
    <t>https://www.tradingview.com/x/CCi7FHHV/</t>
  </si>
  <si>
    <t>-$6.66</t>
  </si>
  <si>
    <t>Cắt lỗ sớm mặc dù giá vẫn đi đúng hướng
=&gt; Tâm lý không vững</t>
  </si>
  <si>
    <t>Chỉ trade những đồng coin có cấu trúc rõ ràng</t>
  </si>
  <si>
    <t xml:space="preserve"> </t>
  </si>
  <si>
    <t>BTC, ETH, SOL, LINK, AVAX, AAVE, NEAR</t>
  </si>
  <si>
    <t>-$12</t>
  </si>
  <si>
    <t>-$10</t>
  </si>
  <si>
    <t>Giá xệ xệ giảm =&gt; Cắt lệnh
Tâm lý FOMO, nhìn chart 4H để vào lệnh nhưng lại dựa vào chart 15m dể cắt lỗ.</t>
  </si>
  <si>
    <t>London</t>
  </si>
  <si>
    <t>Short</t>
  </si>
  <si>
    <t>https://www.tradingview.com/x/tTqO1b1L/</t>
  </si>
  <si>
    <t>+0.5R</t>
  </si>
  <si>
    <t>+$8.25</t>
  </si>
  <si>
    <t>Giá nén trong vùng tích</t>
  </si>
  <si>
    <t>Lose</t>
  </si>
  <si>
    <t>Win</t>
  </si>
  <si>
    <t>Trading Result</t>
  </si>
  <si>
    <t>Draw</t>
  </si>
  <si>
    <t>$NEAR</t>
  </si>
  <si>
    <t>NY</t>
  </si>
  <si>
    <t>-0.3R</t>
  </si>
  <si>
    <t>FOMO, canh sell, dù ngày hôm nay đã thua nhiều
Cảm xúc quá nhiều =&gt; Phá vỡ kỷ luật, đặt lệnh quá lớn.</t>
  </si>
  <si>
    <t>-$4.3</t>
  </si>
  <si>
    <t>Reversal</t>
  </si>
  <si>
    <t>-$5.47</t>
  </si>
  <si>
    <t>Trading ngay lúc thị trường mở cửa phiên Mỹ với mong muốn là giá sẽ chạy y chang ngày hôm qua. Chưa có plan cụ thể, chưa break, reverse hay có BoC.</t>
  </si>
  <si>
    <t>https://www.tradingview.com/x/FCrTDVIn/</t>
  </si>
  <si>
    <t>-1R</t>
  </si>
  <si>
    <t>-$18</t>
  </si>
  <si>
    <t>-$4.32</t>
  </si>
  <si>
    <t>Cảm tính rằng giá giảm -&gt; chưa có dấu hiệu xác nhận
Vào lệnh sớm =&gt; Không tốt</t>
  </si>
  <si>
    <t>-$12.96</t>
  </si>
  <si>
    <r>
      <t xml:space="preserve">Giá di chuyển nhưng mong đợi, tuy nhiên gặp vùng kháng cự đầu tiên giá đã thất bại.
</t>
    </r>
    <r>
      <rPr>
        <b/>
        <sz val="11"/>
        <color rgb="FFFF0000"/>
        <rFont val="Aptos Narrow"/>
        <family val="2"/>
        <scheme val="minor"/>
      </rPr>
      <t>Trong thời gian đi tập thể dục (Ra ngoài, không thể trực tiếp  ngồi máy tính) thì tốt nhất không nên trade</t>
    </r>
  </si>
  <si>
    <t>https://www.tradingview.com/x/i0zojxz0/</t>
  </si>
  <si>
    <t>Cảm tính rằng giá giảm -&gt; chưa có dấu hiệu xác nhận.
Vào lệnh sớm =&gt; Không tốt.
Tâm lý bất ổn, PHÁ HỦY tính kỷ luật =&gt; Risk quá cao $45
RR cũng xấu không đẹp.</t>
  </si>
  <si>
    <t>Draft</t>
  </si>
  <si>
    <t>Rule</t>
  </si>
  <si>
    <t>Nếu trong ngày trade thua liền 2 lệnh =&gt; Ngày đó OFF</t>
  </si>
  <si>
    <t>Hiện tại tài khoản đã bị lỗ khá nặng chỉ còn $474</t>
  </si>
  <si>
    <t>Quyết định giảm Risk.</t>
  </si>
  <si>
    <t>Risk mỗi trade chỉ $5</t>
  </si>
  <si>
    <t>Sau chuỗi thua liên tục, tài khoản bị lỗ nặng. Quyết định giảm Risk per trade xuống chỉ còn $5/ trade</t>
  </si>
  <si>
    <t>Open</t>
  </si>
  <si>
    <t>Strategy</t>
  </si>
  <si>
    <t>https://www.tradingview.com/x/EoB0NFUc/</t>
  </si>
  <si>
    <t>4R</t>
  </si>
  <si>
    <t>+$23</t>
  </si>
  <si>
    <t>Giá breakout phá mạnh vùng cản
Tuy nhiên trong quá trình giá di chuyển, tự tiến hành mua đuổi giá (bet thêm) dẫn đến stoploss lên đến $30.
Quá trình giá di chuyển nhiều lần TP dẫn dến lợi nhuận không thật sự tốt.</t>
  </si>
  <si>
    <t>https://www.tradingview.com/x/yxwP182D/</t>
  </si>
  <si>
    <t>0R</t>
  </si>
  <si>
    <t>-$1</t>
  </si>
  <si>
    <t>Giá không phản ứng, close lệnh sớm.</t>
  </si>
  <si>
    <t>-$3.77</t>
  </si>
  <si>
    <t>Thấy giá vừa mới quét thanh khoản ở phía trên. Xu hướng 15m vẫn đan là xu hướng giảm.</t>
  </si>
  <si>
    <t>Giá tạo cấu trúc giảm rút râu. Tuy nhiên giá không đi luôn, chỉ dừng ở kháng cự gần nhất. Xu hướng 15m vẫn đan là xu hướng giảm.</t>
  </si>
  <si>
    <t>https://www.tradingview.com/x/T2DTdRLy/</t>
  </si>
  <si>
    <t>5m</t>
  </si>
  <si>
    <t>-$4.26</t>
  </si>
  <si>
    <t>Có nến rút râu, tuy nhiên, tuy nhiên cây nến tiếp theo vào lệnh quá sớm, đáng lẽ ra phải chờ cây nến tiếp theo là 1 cây nến đỏ thì vào lệnh SHORT sẽ đúng hơn</t>
  </si>
  <si>
    <t>Trading khung giờ Asian giá dường như khó đi chuyển.</t>
  </si>
  <si>
    <t>Không có Volume.</t>
  </si>
  <si>
    <t>Dữ liệu cho thấy giá bắt đầu tạo trend Tăng/Giảm vào khung giờ London</t>
  </si>
  <si>
    <t>https://www.tradingview.com/x/stD7vrNo/</t>
  </si>
  <si>
    <t>Giá tăng break qua cản 15m, quyết định Buy. Tuy nhiên giá không chạm, TP mà quay đầu giảm mạnh. Cắt lỗ sớm -0.5R</t>
  </si>
  <si>
    <t>-$6.87</t>
  </si>
  <si>
    <t>1H</t>
  </si>
  <si>
    <t>-0.15R</t>
  </si>
  <si>
    <t>-$5</t>
  </si>
  <si>
    <t>Nến 1H nhấn chìm, giá đi xuống đạt được +0.5R tức là $15 nhưng không chốt để giá quay đầu :(</t>
  </si>
  <si>
    <t>Hôm nay nghỉ không trade nữa.</t>
  </si>
  <si>
    <t>Chỉ tập trung trade vào phiên London và NY</t>
  </si>
  <si>
    <t>-$7.83</t>
  </si>
  <si>
    <t>Thấy cây nến 5m hồi về Fib 0.618 rút râu mạnh kèm Volume lớn, nên tiến hàng Short, tuy nhiên cây nến 5m tiếp theo lại là cây nến xanh. Thoát hàng sớm</t>
  </si>
  <si>
    <t>+1R</t>
  </si>
  <si>
    <t>+$16.78</t>
  </si>
  <si>
    <t>Giá hồi về Fib 0.618 như lệnh ở trên. Tuy nhiên chờ dợi cây nến 15m đóng ra quyết định Short.
Do đang có chỗ thua lỗ nên chốt sớm 1R để bảo toàn vốn.</t>
  </si>
  <si>
    <t>Tất cả lệnh short hôm nay đều dúng. Tâm lý không vững, entry nến 1H tốt khi thấy cây nến nhấn chìm.</t>
  </si>
  <si>
    <t>Hầu hết các lệnh WIN đều xảy ra ở khung thời gian London</t>
  </si>
  <si>
    <t>https://www.tradingview.com/x/2q89n2WW/</t>
  </si>
  <si>
    <t>$TAO</t>
  </si>
  <si>
    <t>+0.15R</t>
  </si>
  <si>
    <t>+$3.84</t>
  </si>
  <si>
    <t>Nến 4H Bullish Engulfing có volume. Nên tiếng hành LONG. Giá đi đẹp tuy nhiên tâm lý không vững đã cắt lệnh ngắn khi giá giảm lúc ra tin 8h30 tối</t>
  </si>
  <si>
    <t>$ZK</t>
  </si>
  <si>
    <t>https://www.tradingview.com/x/139U3XRP/</t>
  </si>
  <si>
    <t>https://www.tradingview.com/x/GpUzqZ8H/</t>
  </si>
  <si>
    <t>+$1.88</t>
  </si>
  <si>
    <t>Giá di chuyển đúng hướng đã lời được 1R tuy nhiên không chốt và giá giảm về hòa vốn. :((</t>
  </si>
  <si>
    <t>1R</t>
  </si>
  <si>
    <t>+$5</t>
  </si>
  <si>
    <t>Giá chạm Fib 0.618 sau đó suất hiện Volume lớn ở khung 5m, giá tăng sau đó vượt qua kháng cự là cây nến 5m có Volume lớn. Tiến hành LONG, TP tại kháng cự gần nhất.</t>
  </si>
  <si>
    <t>Giá đang đi sideway không trade</t>
  </si>
  <si>
    <t>Không trade khung giờ m5 nữa, phí quá cao, giá đi % cũng không nhiều, chỉ trade từ khung 15m trở đi.</t>
  </si>
  <si>
    <t>m5</t>
  </si>
  <si>
    <t>Giá phá vỡ vùng cầu cây nến m5, nên tiến hành SHORT</t>
  </si>
  <si>
    <t>https://www.tradingview.com/x/VSjqm6vi/</t>
  </si>
  <si>
    <t>$BTC</t>
  </si>
  <si>
    <t>m3</t>
  </si>
  <si>
    <t>-$13</t>
  </si>
  <si>
    <t>Thấy giá có dấu hiện quay đầu, phá vỡ các vùng cản của các cây nến m3 =&gt; SAI, nến m3 cần có Volume cực cao, mình chỉ đang dựa vào những cây nến có VOLUME thấp, không đáng tin cậy.</t>
  </si>
  <si>
    <t>https://www.tradingview.com/x/DEifpymT/</t>
  </si>
  <si>
    <t>TỔNG KẾT</t>
  </si>
  <si>
    <t>-$76.43</t>
  </si>
  <si>
    <t>PnL</t>
  </si>
  <si>
    <t>Winrate</t>
  </si>
  <si>
    <t>RR</t>
  </si>
  <si>
    <t>Volume</t>
  </si>
  <si>
    <t>Vốn trade: $531</t>
  </si>
  <si>
    <t>Tuần 4</t>
  </si>
  <si>
    <t>https://www.tradingview.com/x/RrwbWAcM/</t>
  </si>
  <si>
    <t>-$3.65</t>
  </si>
  <si>
    <t>Giá hồi lên về vùng Fib 0.618-0.75 có volume kích lớn, tiến hành SHORT
KQ: Giá không giảm luôn mà đi lên tiếp. Cắt lệnh nhanh.</t>
  </si>
  <si>
    <t>+$17.6</t>
  </si>
  <si>
    <t>Giá quét thanh khoản, xuất hiện Volume lớn, có MM vào</t>
  </si>
  <si>
    <t>https://www.tradingview.com/x/9D78Pg8T/</t>
  </si>
  <si>
    <t>1.2R</t>
  </si>
  <si>
    <t>Bắt đầu tuần 2.</t>
  </si>
  <si>
    <t>Tuần 2 (3/8/2026 - 14/3/2026)</t>
  </si>
  <si>
    <t>Hạn chế trading khung thời gian nhỏ, khung thời gian nên vào khung London và NY.
Giảm Risk lại, chỉ Risk tối đa $5/trade.
Phá vỡ Rule rất nhiều lần. Nghỉ trade trong ngày nếu có 2 lệnh thua liên tiếp</t>
  </si>
  <si>
    <t>Một ngày trade không khi lịch sử =&gt; rối loạn cảm xúc, sai rất nhiều, trade khung nhỏ là sai lầm cực kỳ lớn =&gt; Phí giao dịch quá cao</t>
  </si>
  <si>
    <t>-$4.4</t>
  </si>
  <si>
    <t>Giá hồi lên vùng cản rồi rút râu mạnh, có volume vào. Nên tiến hành SHORT.
KQ: Giá không giảm liền mà hồi lại. Tâm lý không vững. Cắt lỗ sớm.</t>
  </si>
  <si>
    <t>-$7</t>
  </si>
  <si>
    <t>https://www.tradingview.com/x/o706MnZ4/</t>
  </si>
  <si>
    <t>Suy nghĩ cho kỹ rồi vào lệnh. Dính SL là thua, chứ không theo cảm xúc cắt lỗ non rồi lại vào lệnh mới.</t>
  </si>
  <si>
    <t>Hôm nay thua 2 lệnh. Không trade nữa.</t>
  </si>
  <si>
    <t>-$12.32</t>
  </si>
  <si>
    <t>Giá tạo cấu trúc giảm ở m5, tiếp tục Short.
KQ: Thất bại.</t>
  </si>
  <si>
    <t>https://www.tradingview.com/x/zzIukFua/</t>
  </si>
  <si>
    <t>-$6</t>
  </si>
  <si>
    <t>Giá chỉ quét râu, không phải breakout.</t>
  </si>
  <si>
    <t>https://www.tradingview.com/x/xjN86DrM/</t>
  </si>
  <si>
    <t>Phá vỡ Rule lần 2, trade thua 4 lệnh liên tiếp.</t>
  </si>
  <si>
    <t>Phải giảm risk lại, 1 trade chỉ nên risk $5</t>
  </si>
  <si>
    <t>Sau hơn 1 tuần trade, kết quả không tốt + Phá vỡ rule nhiều lần =&gt; Quyết định nghỉ trade hết tuần này.</t>
  </si>
  <si>
    <t>$XRP</t>
  </si>
  <si>
    <t>-0.06R</t>
  </si>
  <si>
    <t>-$27</t>
  </si>
  <si>
    <t>Mất kiểm soát hành vi. Sau chuỗi thua nặng.</t>
  </si>
  <si>
    <t>https://www.tradingview.com/x/RYTahbDP/</t>
  </si>
  <si>
    <t>Thêm vào 1 cột Setup để ghi rõ
Điểm vào lệnh, SL, TP =&gt; Tracking</t>
  </si>
  <si>
    <t>$AVAX</t>
  </si>
  <si>
    <t>Entry: 9.390
RR = 1</t>
  </si>
  <si>
    <t>Giá giảm mạnh xong Pullback về Fib 0.618 -0.75, có Volume kích, tiến hành Short</t>
  </si>
  <si>
    <t>https://www.tradingview.com/x/EKr8ezA9/</t>
  </si>
  <si>
    <t>Entry: 9.012
RR = 3</t>
  </si>
  <si>
    <t>Giá giảm mạnh xong Pullback về Fib 0.618 -0.75, tiến hành Short.
Tuy nhiên giá tiếp tục tăng mạnh và phá luôn đỉnh gần nhất. Cần phải chờ nến xác nhận.</t>
  </si>
  <si>
    <t>https://www.tradingview.com/x/pN6uuy8p/</t>
  </si>
  <si>
    <t>Entry: 9.533
RR = 2.35</t>
  </si>
  <si>
    <t>+$1</t>
  </si>
  <si>
    <t>https://www.tradingview.com/x/RhlNqxS3/</t>
  </si>
  <si>
    <t>Xu hướng tăng ở khung thời gian m15. Giá hồi về Fib 0.618 - 0.75. Tiến hành lệnh LONG.
KQ: Giá tăng lên 1R rồi quay về tại breakeven</t>
  </si>
  <si>
    <t>Giá vừa quét hết thanh khoản, giá hồi về Fib 0.618 - 0.75 có phản ứng mạnh. Tiến hành LONG</t>
  </si>
  <si>
    <t>https://www.tradingview.com/x/Wln3PYC6/</t>
  </si>
  <si>
    <t>Entry: 0.01922
RR = 2</t>
  </si>
  <si>
    <t>-$2</t>
  </si>
  <si>
    <t>$XAU</t>
  </si>
  <si>
    <t>Thấy cây nến 15m Nhấn chìm tăng, vào lệnh.
KQ: Đo Fibo thấy giá iajm Fib 0.618 ở chiều ngược lại. Cắt lỗ sớm</t>
  </si>
  <si>
    <t>https://www.tradingview.com/x/fvp4QTG0/</t>
  </si>
  <si>
    <t>Không trade những đồng coin nhỏ như ZK, rủi ro tất cao</t>
  </si>
  <si>
    <t>$BNB</t>
  </si>
  <si>
    <t>Entry: 642.67
RR = 2</t>
  </si>
  <si>
    <t>Giá khá là choppy, khung 15m giá đi lên đi xuống. Giá hồi về Fib 0.618, thấy cây nến m15 đỏ =&gt; Short.</t>
  </si>
  <si>
    <t>-$4</t>
  </si>
  <si>
    <t>$AAVE</t>
  </si>
  <si>
    <t>Entry: 110
RR = 2</t>
  </si>
  <si>
    <t>Nến nhấn chìm giảm, sau khi giá phản ứn tại Fib 0.618 - 0.75</t>
  </si>
  <si>
    <t>https://www.tradingview.com/x/jgufMr9b/</t>
  </si>
  <si>
    <t>Entry : 110.5
RR = 1.7</t>
  </si>
  <si>
    <t>Sau khi giảm, giá pullback về Fib 0.618, xuất hiện volume và nến Nhấn Chìm giảm. Tiến hành SHORT
KQ: Tâm lý sợ thua, nên cắt hòa vốn khi giá đang chạy tốt.</t>
  </si>
  <si>
    <t>Entry : 8.966
RR = 0.38</t>
  </si>
  <si>
    <t>+0.38R</t>
  </si>
  <si>
    <t>+$3.17</t>
  </si>
  <si>
    <t>+$33</t>
  </si>
  <si>
    <t>Giá giảm, sau đó pullback về Fib 0.75, tạo cấu trúc giảm lại, sau đó quét thanh khoản rồi xuất hiện cây nến nhấn chìm m15. Tiến hành SHORT.
KQ: Chọn ăn ít, ngay Fib 0.618 ở chiều ngược lại vì xu hướng chính 4H vẫn đang là di chuyển trong Range.</t>
  </si>
  <si>
    <t>https://www.tradingview.com/x/EGf3kVgU/</t>
  </si>
  <si>
    <t>Entry : 8.978
RR = 3</t>
  </si>
  <si>
    <t>+3R</t>
  </si>
  <si>
    <t>+$19.39</t>
  </si>
  <si>
    <t>Giá tăng rồi pullback về Fib 0.75, thấy có Volume kích, đặt lệnh Buy limit ở trên ngưỡng kháng cự của cây nến có Volume Sell lớn nhất. RR = 3.</t>
  </si>
  <si>
    <t>https://www.tradingview.com/x/8jIJynhw/</t>
  </si>
  <si>
    <t>Entry : 9.924
RR = 2.6</t>
  </si>
  <si>
    <t>Giá tăng mạnh, có tạo vùng thanh khoản. Thấy giá giảm, chờ giá giảm về Fib 0.75, đặt lệnh LONG. Đây là lệnh Limit Buy.
Kết quả =&gt; Thua. Vì thiếu xác nhận</t>
  </si>
  <si>
    <t>Entry: 9.5
RR = 1</t>
  </si>
  <si>
    <t>-0.1R</t>
  </si>
  <si>
    <t>-$44</t>
  </si>
  <si>
    <t>FOMO, nghĩ là giá tăng, mà không thể kiếm tiền nhiều =&gt; Đặt lệnh lớn, Stop Loss thì để xa =&gt; Không trade theo cảm xúc, phải đặt hệ thống trading lên hàng đầu.</t>
  </si>
  <si>
    <t>https://www.tradingview.com/x/BnnOsACb/</t>
  </si>
  <si>
    <t>https://www.tradingview.com/x/uj7z1YUg/</t>
  </si>
  <si>
    <t>Weekly</t>
  </si>
  <si>
    <t>-$66.18</t>
  </si>
  <si>
    <t>Tích cực: Trade ổn với phương pháp Continue, canh Pullback để có Entry đẹp.
Tiêu cực: FOMO, quản lý vốn kém, Risk lớn.</t>
  </si>
  <si>
    <t>RR có cải thiện, FOMO vẫn còn</t>
  </si>
  <si>
    <t>Dính FOMO, đặt lệnh lớn đổi đời =&gt; Tan nát</t>
  </si>
  <si>
    <t>Không quản lý cảm xúc tốt, đặt lệnh quá lớn, RR rất nhỏ =&gt; Cảm xúc sợ hãi</t>
  </si>
  <si>
    <t>Entry : 9.081
RR = 2.65</t>
  </si>
  <si>
    <t>Khung thời gian 1H giá đi về vùng Fib 0.75 sau đó có dấu hiệu tích lũy, tiến hàng LONG. Stoploss đặt dưới Fib 0.91</t>
  </si>
  <si>
    <t>https://www.tradingview.com/x/tjtlAwxS/</t>
  </si>
  <si>
    <t>+0.3R</t>
  </si>
  <si>
    <t>Bắt đầu tuần 3</t>
  </si>
  <si>
    <t>$ETH</t>
  </si>
  <si>
    <t>Entry: 2186
RR = 4</t>
  </si>
  <si>
    <t>https://www.tradingview.com/x/LEf1U01l/</t>
  </si>
  <si>
    <t>Entry: 9.5
RR = 13</t>
  </si>
  <si>
    <t>https://www.tradingview.com/x/rxSRfGye/</t>
  </si>
  <si>
    <t>+$6</t>
  </si>
  <si>
    <t>+$2</t>
  </si>
  <si>
    <t>Chart Tuần vẫn trong xu hướng tăng. Giá pullback về Fib 0.75 khung tuần, nến tuần trước nhấn chìm tăng mạnh. Tiến hành LONG.
Kết quả: Thấy nến giảm m15, cắt lời sớm. Sau đó, giá vẫn tiếp tục tăng.</t>
  </si>
  <si>
    <t>Cảm xúc chi phối, lời nhỏ.
Lý do cảm xúc chi phối: xem phân tích của người khác trên Twitter.</t>
  </si>
  <si>
    <t>Entry: 9.689
RR = 1</t>
  </si>
  <si>
    <t>-$15</t>
  </si>
  <si>
    <t>Khung thời gian 15m thấy có cấu trúc thị trường thay đổi. 9h30 tối bắt đầu phiên Mỹ, thấy giá giảm =&gt; Tiến hành SHORT
Kết quả: Thua.
Bài học: Cấu trúc thị trường thay đổi (Chỉ nên coi khung thời gian 4H)</t>
  </si>
  <si>
    <t>https://www.tradingview.com/x/W6rMancC/</t>
  </si>
  <si>
    <t>Entry: 9.945
RR = 2.85</t>
  </si>
  <si>
    <t>Nến rút râu khung thời gian 4H. Chưa có dấu hiệu đảo chiều khung 4H, trade khá là risk. Chỉ thấy nến quét thanh khoản vùng compression phía trên.</t>
  </si>
  <si>
    <t>https://www.tradingview.com/x/URHsfSuk/</t>
  </si>
  <si>
    <t>+3.5R</t>
  </si>
  <si>
    <t>+$53.5</t>
  </si>
  <si>
    <t>Ban đầu risk $15
Sau đó risk $150</t>
  </si>
  <si>
    <t>$FET</t>
  </si>
  <si>
    <t>Entry: 0.231
RR = 0.59</t>
  </si>
  <si>
    <t>+$43</t>
  </si>
  <si>
    <t>Mở phiên Mỹ, giá bị đè xuống. Tiến hành Short. Lệnh risk cao, nguy hiểm, phá rule, canh chốt từng phần trong thời gian ngắn.</t>
  </si>
  <si>
    <t>https://www.tradingview.com/x/m03chXIC/</t>
  </si>
  <si>
    <t>Entry: 9.826
RR = 2.4</t>
  </si>
  <si>
    <t>Entry: 0.2343
RR = 2</t>
  </si>
  <si>
    <t>Giá có cấu trúc giảm khung m15, thấy có quét thanh khoản ở Fib 0.75. Tuy nhiên entry không được đẹp lắm.</t>
  </si>
  <si>
    <t>+$14.57</t>
  </si>
  <si>
    <t>https://www.tradingview.com/x/ujJsic1z/</t>
  </si>
  <si>
    <t>Thấy giá tạo đáy sau thấp hơn đáy trước, giá pullback gặp Fib 0.618 thì rút râu. Tiến hành SHORT.
Kết quả: Thua. Vì giá tạo đáy sau cao hơn đáy trước nhưng chỉ là râu nến.
Giá đi sideway sau đó vào giờ  London, giá giảm như phân tích.</t>
  </si>
  <si>
    <t>Đánh Volume quá lớn =&gt; Rủi ro cao.</t>
  </si>
  <si>
    <t>Entry: 0.2202822</t>
  </si>
  <si>
    <t>PS: $2000</t>
  </si>
  <si>
    <t>-2R</t>
  </si>
  <si>
    <t>-$30</t>
  </si>
  <si>
    <t>Sau khi cắt lỗ thì ggias giảm như kỳ vọng.
Đánh lệnh quá lớn =&gt; Không kiềm chế được cảm xúc.
Phải bỏ ngay cách này nếu muốn tiếp tục trading.</t>
  </si>
  <si>
    <t>Risk 10%</t>
  </si>
  <si>
    <t>Risk 5%</t>
  </si>
  <si>
    <t>Stt</t>
  </si>
  <si>
    <t>Năm</t>
  </si>
  <si>
    <t>Vốn</t>
  </si>
  <si>
    <t>Risk</t>
  </si>
  <si>
    <t>Win Rate</t>
  </si>
  <si>
    <t>Sum</t>
  </si>
  <si>
    <t>Earn</t>
  </si>
  <si>
    <t>Detail</t>
  </si>
  <si>
    <t>Giả định số vốn ban đầu là $5000</t>
  </si>
  <si>
    <t>Giả định số vốn ban đầu là $3000</t>
  </si>
  <si>
    <t>ETF</t>
  </si>
  <si>
    <t>Entry: 269.91
RR = 3</t>
  </si>
  <si>
    <t>Giá giảm, pullback về Fib 0.75 rút râu. Tiến hành Short.</t>
  </si>
  <si>
    <t>https://www.tradingview.com/x/5TiIA8a0/</t>
  </si>
  <si>
    <t>ETF là chứng chỉ quỹ, mua để dành cho con cái và phòng thân lúc tuổi già</t>
  </si>
  <si>
    <t>Mục tiêu là mua đủ $50000 trước lúc con cái 18 tuổi.</t>
  </si>
  <si>
    <t>ETF được trích từ 1 phần lợi nhuận</t>
  </si>
  <si>
    <t>Trades</t>
  </si>
  <si>
    <t>+$8</t>
  </si>
  <si>
    <t>Entry: 271.23
RR = 2.71</t>
  </si>
  <si>
    <t>https://www.tradingview.com/x/dIo0LPFF/</t>
  </si>
  <si>
    <t>Giá giảm mạnh do tin tức Trump đe dọa tấn công Iran, giá hồi về Fib 0.91 rồi xuất hiện nến nhấn chìm. Xem chart m5 thì thấy giá pullback đã lấy hết thanh khoản ở trên.
Tiến hành Short tiếp theo xu hướng giảm.</t>
  </si>
  <si>
    <t>Tuần 3 (15/3/2026 - 22/3/2026)</t>
  </si>
  <si>
    <t>Tích cực: Bắt đầu trade ổn với phương pháp Continue, canh pullback để có Entry đẹp. RR tốt.
Tiêu cực: FOMO vẫn còn, thể hiện qua các lệnh Allin với risk siêu cao.
Cần: Quản lý rủi ro là điều bắt buộc. Nên risk tối đa là $15 cho 1 lệnh khung m15, và max $30 cho khung thời gian H4.</t>
  </si>
  <si>
    <t>Bắt đầu tuần 4.</t>
  </si>
  <si>
    <t>Kết hợp Continue và Liquidity để có entry tốt nhất.</t>
  </si>
  <si>
    <t>Bắt buộc phải quản lý rủi ro trong trading.</t>
  </si>
  <si>
    <t>Tuần 1 (27/2/2026 - 7/3/2026)</t>
  </si>
  <si>
    <t>RR cải thiện, tâm lý tốt hơn, chờ đợi tín hiện được. FOMO vẫn còn, Risk Management yếu.</t>
  </si>
  <si>
    <t>+$117.99</t>
  </si>
  <si>
    <t>Entry: 270
RR = 1</t>
  </si>
  <si>
    <t>-0.2R</t>
  </si>
  <si>
    <t>-$2.7</t>
  </si>
  <si>
    <t>Giả sử đi làm, đặt lệnh Limit. Giá giảm sau đó pullback về Fib 0.618 -0.75 có thanh khoản ở trên, đặt lệnh Short, rồi đi làm. Xem kết quả sau khi đi làm về.</t>
  </si>
  <si>
    <t>https://www.tradingview.com/x/QONop3nn/</t>
  </si>
  <si>
    <t>Tâm lý, cắt lệnh sớm.</t>
  </si>
  <si>
    <t>3/23/2026: Hôm nay thua $30. Off. Thị trường đang đi rất khó chịu</t>
  </si>
  <si>
    <t>-$62</t>
  </si>
  <si>
    <t>Quản lý risk cực kỳ tệ. FOMO, thua đủ với thị trường.
Setup ban đầu cực kỳ chính xác, RR = 2. Tâm lý xảy ra khi risk quá lớn =&gt; Cắt lệnh sớm dù chỉ mới thua nhỏ. Trade liên tiếp 3 lệnh.</t>
  </si>
  <si>
    <t>https://www.tradingview.com/x/NzNatYtk/</t>
  </si>
  <si>
    <t xml:space="preserve">Entry: 291
RR = 1.84
</t>
  </si>
  <si>
    <t>Quản lý lệnh Kém. Risk lớn</t>
  </si>
  <si>
    <t>-0.7R</t>
  </si>
  <si>
    <t>Giá giảm mạnh rồi hồi về Fib 0.618 thấy có nến rút chân. Short
Sai. Cần phải có confirmation.</t>
  </si>
  <si>
    <t>https://www.tradingview.com/x/7ks04MVG/</t>
  </si>
  <si>
    <t>WR</t>
  </si>
  <si>
    <t>Capital</t>
  </si>
  <si>
    <t>Số trade trong tháng.</t>
  </si>
  <si>
    <t>Trung bình 1 tuần 3 trades</t>
  </si>
  <si>
    <t>Profit</t>
  </si>
  <si>
    <t>Loss</t>
  </si>
  <si>
    <t>P&amp;L</t>
  </si>
  <si>
    <t>Đây là lợi nhuận trong 1 tháng ở mức tối ưu nhất</t>
  </si>
  <si>
    <t>Lợi nhuận có tính lãi suất kép</t>
  </si>
  <si>
    <t>Tháng</t>
  </si>
  <si>
    <t>&lt; $5K</t>
  </si>
  <si>
    <t>Nhỏ</t>
  </si>
  <si>
    <t>Giá trị tài khoản</t>
  </si>
  <si>
    <t>Mục tiêu</t>
  </si>
  <si>
    <t>1% - 2%</t>
  </si>
  <si>
    <t>Build account</t>
  </si>
  <si>
    <t>Trung</t>
  </si>
  <si>
    <t>$5K - $50K</t>
  </si>
  <si>
    <t>0.5% - 1.5%</t>
  </si>
  <si>
    <t>Bắt đầu cân bằng risk</t>
  </si>
  <si>
    <t>Lớn</t>
  </si>
  <si>
    <t>$100K+</t>
  </si>
  <si>
    <t>0.2% - 0.5%</t>
  </si>
  <si>
    <t>Consistency, Low drawdown, Psychological comfort</t>
  </si>
  <si>
    <t>Vốn nhỏ risk 1% - 2%</t>
  </si>
  <si>
    <t>Vốn trung risk 0.5% - 1.5%</t>
  </si>
  <si>
    <t>Vốn lớn risk 0.2% - 0.5%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</si>
</sst>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8" x14ac:knownFonts="1">
    <font>
      <sz val="11"/>
      <color theme="1"/>
      <name val="Aptos Narrow"/>
      <family val="2"/>
      <scheme val="minor"/>
    </font>
    <font>
      <u/>
      <sz val="11"/>
      <color theme="10"/>
      <name val="Aptos Narrow"/>
      <family val="2"/>
      <scheme val="minor"/>
    </font>
    <font>
      <b/>
      <sz val="11"/>
      <color rgb="FFFF0000"/>
      <name val="Aptos Narrow"/>
      <family val="2"/>
      <scheme val="minor"/>
    </font>
    <font>
      <b/>
      <sz val="11"/>
      <color theme="1"/>
      <name val="Aptos Narrow"/>
      <family val="2"/>
      <scheme val="minor"/>
    </font>
    <font>
      <sz val="11"/>
      <color rgb="FFFF0000"/>
      <name val="Aptos Narrow"/>
      <family val="2"/>
      <scheme val="minor"/>
    </font>
    <font>
      <b/>
      <sz val="16"/>
      <color theme="1"/>
      <name val="Aptos Narrow"/>
      <family val="2"/>
      <scheme val="minor"/>
    </font>
    <font>
      <sz val="11"/>
      <color rgb="FF006100"/>
      <name val="Aptos Narrow"/>
      <family val="2"/>
      <scheme val="minor"/>
    </font>
    <font>
      <b/>
      <sz val="18"/>
      <color theme="1"/>
      <name val="Aptos Narrow"/>
      <family val="2"/>
      <scheme val="minor"/>
    </font>
  </fonts>
  <fills count="1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7"/>
        <bgColor indexed="64"/>
      </patternFill>
    </fill>
    <fill>
      <patternFill patternType="solid">
        <fgColor theme="3" tint="0.499984740745262"/>
        <bgColor indexed="64"/>
      </patternFill>
    </fill>
    <fill>
      <patternFill patternType="solid">
        <fgColor rgb="FFC6EFCE"/>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6" fillId="8" borderId="0" applyNumberFormat="0" applyBorder="0" applyAlignment="0" applyProtection="0"/>
  </cellStyleXfs>
  <cellXfs count="45">
    <xf numFmtId="0" fontId="0" fillId="0" borderId="0" xfId="0"/>
    <xf numFmtId="14" fontId="0" fillId="0" borderId="0" xfId="0" applyNumberFormat="1"/>
    <xf numFmtId="0" fontId="1" fillId="0" borderId="0" xfId="1" applyAlignment="1"/>
    <xf numFmtId="0" fontId="1" fillId="0" borderId="0" xfId="1"/>
    <xf numFmtId="6" fontId="0" fillId="0" borderId="0" xfId="0" applyNumberFormat="1"/>
    <xf numFmtId="0" fontId="0" fillId="0" borderId="0" xfId="0" applyAlignment="1">
      <alignment horizontal="right"/>
    </xf>
    <xf numFmtId="0" fontId="0" fillId="0" borderId="0" xfId="0" quotePrefix="1" applyAlignment="1">
      <alignment horizontal="right"/>
    </xf>
    <xf numFmtId="0" fontId="0" fillId="0" borderId="0" xfId="0" applyAlignment="1">
      <alignment wrapText="1"/>
    </xf>
    <xf numFmtId="0" fontId="0" fillId="0" borderId="0" xfId="0" applyAlignment="1">
      <alignment horizontal="left" vertical="center" wrapText="1"/>
    </xf>
    <xf numFmtId="0" fontId="0" fillId="2" borderId="0" xfId="0" applyFill="1"/>
    <xf numFmtId="0" fontId="0" fillId="3" borderId="0" xfId="0" applyFill="1"/>
    <xf numFmtId="0" fontId="0" fillId="4" borderId="0" xfId="0" applyFill="1"/>
    <xf numFmtId="6" fontId="0" fillId="0" borderId="0" xfId="0" quotePrefix="1" applyNumberFormat="1"/>
    <xf numFmtId="6" fontId="0" fillId="3" borderId="0" xfId="0" applyNumberFormat="1" applyFill="1"/>
    <xf numFmtId="0" fontId="0" fillId="2" borderId="0" xfId="0" applyFill="1" applyAlignment="1">
      <alignment wrapText="1"/>
    </xf>
    <xf numFmtId="0" fontId="3" fillId="0" borderId="0" xfId="0" applyFont="1"/>
    <xf numFmtId="0" fontId="3" fillId="0" borderId="0" xfId="0" applyFont="1" applyAlignment="1">
      <alignment wrapText="1"/>
    </xf>
    <xf numFmtId="0" fontId="0" fillId="5" borderId="0" xfId="0" applyFill="1"/>
    <xf numFmtId="0" fontId="0" fillId="6" borderId="0" xfId="0" applyFill="1"/>
    <xf numFmtId="49" fontId="0" fillId="0" borderId="0" xfId="0" applyNumberFormat="1" applyAlignment="1">
      <alignment horizontal="right"/>
    </xf>
    <xf numFmtId="49" fontId="0" fillId="0" borderId="0" xfId="0" quotePrefix="1" applyNumberFormat="1" applyAlignment="1">
      <alignment horizontal="right"/>
    </xf>
    <xf numFmtId="8" fontId="0" fillId="0" borderId="0" xfId="0" applyNumberFormat="1"/>
    <xf numFmtId="0" fontId="4" fillId="0" borderId="0" xfId="0" applyFont="1" applyAlignment="1">
      <alignment wrapText="1"/>
    </xf>
    <xf numFmtId="0" fontId="2" fillId="0" borderId="0" xfId="0" applyFont="1" applyAlignment="1">
      <alignment wrapText="1"/>
    </xf>
    <xf numFmtId="0" fontId="0" fillId="0" borderId="0" xfId="0" quotePrefix="1"/>
    <xf numFmtId="9" fontId="0" fillId="0" borderId="0" xfId="0" applyNumberFormat="1"/>
    <xf numFmtId="0" fontId="3" fillId="0" borderId="0" xfId="0" applyFont="1" applyAlignment="1">
      <alignment horizontal="right"/>
    </xf>
    <xf numFmtId="49" fontId="3" fillId="0" borderId="0" xfId="0" applyNumberFormat="1" applyFont="1" applyAlignment="1">
      <alignment horizontal="right"/>
    </xf>
    <xf numFmtId="0" fontId="5" fillId="0" borderId="0" xfId="0" applyFont="1"/>
    <xf numFmtId="6" fontId="4" fillId="0" borderId="0" xfId="0" applyNumberFormat="1" applyFont="1"/>
    <xf numFmtId="0" fontId="3" fillId="0" borderId="0" xfId="0" applyFont="1" applyAlignment="1">
      <alignment horizontal="center" vertical="center"/>
    </xf>
    <xf numFmtId="0" fontId="0" fillId="7" borderId="0" xfId="0" applyFill="1"/>
    <xf numFmtId="10" fontId="0" fillId="0" borderId="0" xfId="0" applyNumberFormat="1"/>
    <xf numFmtId="0" fontId="6" fillId="8" borderId="0" xfId="2" applyAlignment="1">
      <alignment wrapText="1"/>
    </xf>
    <xf numFmtId="49" fontId="0" fillId="5" borderId="0" xfId="0" quotePrefix="1" applyNumberFormat="1" applyFill="1" applyAlignment="1">
      <alignment horizontal="right"/>
    </xf>
    <xf numFmtId="6" fontId="0" fillId="0" borderId="0" xfId="0" applyNumberFormat="1" applyAlignment="1">
      <alignment wrapText="1"/>
    </xf>
    <xf numFmtId="0" fontId="4" fillId="0" borderId="0" xfId="0" applyFont="1"/>
    <xf numFmtId="0" fontId="0" fillId="0" borderId="1" xfId="0" applyBorder="1"/>
    <xf numFmtId="0" fontId="0" fillId="0" borderId="1" xfId="0" applyBorder="1" applyAlignment="1">
      <alignment horizontal="right"/>
    </xf>
    <xf numFmtId="0" fontId="0" fillId="2" borderId="1" xfId="0" applyFill="1" applyBorder="1"/>
    <xf numFmtId="0" fontId="0" fillId="4" borderId="1" xfId="0" applyFill="1" applyBorder="1"/>
    <xf numFmtId="0" fontId="0" fillId="9" borderId="0" xfId="0" applyFill="1" applyAlignment="1">
      <alignment wrapText="1"/>
    </xf>
    <xf numFmtId="0" fontId="7" fillId="0" borderId="0" xfId="0" applyFont="1"/>
    <xf numFmtId="0" fontId="0" fillId="0" borderId="0" xfId="0" quotePrefix="1" applyAlignment="1">
      <alignment horizontal="right" wrapText="1"/>
    </xf>
    <xf numFmtId="164" fontId="0" fillId="0" borderId="0" xfId="0" applyNumberFormat="1"/>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18</xdr:col>
      <xdr:colOff>584200</xdr:colOff>
      <xdr:row>22</xdr:row>
      <xdr:rowOff>235940</xdr:rowOff>
    </xdr:from>
    <xdr:to>
      <xdr:col>26</xdr:col>
      <xdr:colOff>152643</xdr:colOff>
      <xdr:row>25</xdr:row>
      <xdr:rowOff>784386</xdr:rowOff>
    </xdr:to>
    <xdr:pic>
      <xdr:nvPicPr>
        <xdr:cNvPr id="2" name="Picture 1">
          <a:extLst>
            <a:ext uri="{FF2B5EF4-FFF2-40B4-BE49-F238E27FC236}">
              <a16:creationId xmlns:a16="http://schemas.microsoft.com/office/drawing/2014/main" id="{56EF732D-AEAB-5791-2E57-A364A4C7F493}"/>
            </a:ext>
          </a:extLst>
        </xdr:cNvPr>
        <xdr:cNvPicPr>
          <a:picLocks noChangeAspect="1"/>
        </xdr:cNvPicPr>
      </xdr:nvPicPr>
      <xdr:blipFill>
        <a:blip xmlns:r="http://schemas.openxmlformats.org/officeDocument/2006/relationships" r:embed="rId1"/>
        <a:stretch>
          <a:fillRect/>
        </a:stretch>
      </xdr:blipFill>
      <xdr:spPr>
        <a:xfrm>
          <a:off x="15265400" y="12021540"/>
          <a:ext cx="4445243" cy="2945571"/>
        </a:xfrm>
        <a:prstGeom prst="rect">
          <a:avLst/>
        </a:prstGeom>
      </xdr:spPr>
    </xdr:pic>
    <xdr:clientData/>
  </xdr:twoCellAnchor>
  <xdr:twoCellAnchor editAs="oneCell">
    <xdr:from>
      <xdr:col>18</xdr:col>
      <xdr:colOff>596900</xdr:colOff>
      <xdr:row>27</xdr:row>
      <xdr:rowOff>482600</xdr:rowOff>
    </xdr:from>
    <xdr:to>
      <xdr:col>26</xdr:col>
      <xdr:colOff>165100</xdr:colOff>
      <xdr:row>33</xdr:row>
      <xdr:rowOff>44907</xdr:rowOff>
    </xdr:to>
    <xdr:pic>
      <xdr:nvPicPr>
        <xdr:cNvPr id="3" name="Picture 2">
          <a:extLst>
            <a:ext uri="{FF2B5EF4-FFF2-40B4-BE49-F238E27FC236}">
              <a16:creationId xmlns:a16="http://schemas.microsoft.com/office/drawing/2014/main" id="{E20A81FF-EAFF-C75C-2B0B-2FDDB66B3A36}"/>
            </a:ext>
          </a:extLst>
        </xdr:cNvPr>
        <xdr:cNvPicPr>
          <a:picLocks noChangeAspect="1"/>
        </xdr:cNvPicPr>
      </xdr:nvPicPr>
      <xdr:blipFill>
        <a:blip xmlns:r="http://schemas.openxmlformats.org/officeDocument/2006/relationships" r:embed="rId2"/>
        <a:stretch>
          <a:fillRect/>
        </a:stretch>
      </xdr:blipFill>
      <xdr:spPr>
        <a:xfrm>
          <a:off x="16383000" y="16687800"/>
          <a:ext cx="4445000" cy="2896057"/>
        </a:xfrm>
        <a:prstGeom prst="rect">
          <a:avLst/>
        </a:prstGeom>
      </xdr:spPr>
    </xdr:pic>
    <xdr:clientData/>
  </xdr:twoCellAnchor>
  <xdr:twoCellAnchor editAs="oneCell">
    <xdr:from>
      <xdr:col>18</xdr:col>
      <xdr:colOff>603250</xdr:colOff>
      <xdr:row>43</xdr:row>
      <xdr:rowOff>50800</xdr:rowOff>
    </xdr:from>
    <xdr:to>
      <xdr:col>26</xdr:col>
      <xdr:colOff>143549</xdr:colOff>
      <xdr:row>46</xdr:row>
      <xdr:rowOff>454025</xdr:rowOff>
    </xdr:to>
    <xdr:pic>
      <xdr:nvPicPr>
        <xdr:cNvPr id="4" name="Picture 3">
          <a:extLst>
            <a:ext uri="{FF2B5EF4-FFF2-40B4-BE49-F238E27FC236}">
              <a16:creationId xmlns:a16="http://schemas.microsoft.com/office/drawing/2014/main" id="{ED86ED65-9B0F-6B0C-26DC-79E0EE612283}"/>
            </a:ext>
          </a:extLst>
        </xdr:cNvPr>
        <xdr:cNvPicPr>
          <a:picLocks noChangeAspect="1"/>
        </xdr:cNvPicPr>
      </xdr:nvPicPr>
      <xdr:blipFill>
        <a:blip xmlns:r="http://schemas.openxmlformats.org/officeDocument/2006/relationships" r:embed="rId3"/>
        <a:stretch>
          <a:fillRect/>
        </a:stretch>
      </xdr:blipFill>
      <xdr:spPr>
        <a:xfrm>
          <a:off x="15284450" y="19202400"/>
          <a:ext cx="4413924" cy="2616200"/>
        </a:xfrm>
        <a:prstGeom prst="rect">
          <a:avLst/>
        </a:prstGeom>
      </xdr:spPr>
    </xdr:pic>
    <xdr:clientData/>
  </xdr:twoCellAnchor>
  <xdr:twoCellAnchor editAs="oneCell">
    <xdr:from>
      <xdr:col>18</xdr:col>
      <xdr:colOff>600075</xdr:colOff>
      <xdr:row>33</xdr:row>
      <xdr:rowOff>371475</xdr:rowOff>
    </xdr:from>
    <xdr:to>
      <xdr:col>28</xdr:col>
      <xdr:colOff>495624</xdr:colOff>
      <xdr:row>39</xdr:row>
      <xdr:rowOff>349420</xdr:rowOff>
    </xdr:to>
    <xdr:pic>
      <xdr:nvPicPr>
        <xdr:cNvPr id="5" name="Picture 4">
          <a:extLst>
            <a:ext uri="{FF2B5EF4-FFF2-40B4-BE49-F238E27FC236}">
              <a16:creationId xmlns:a16="http://schemas.microsoft.com/office/drawing/2014/main" id="{0BC4976A-C512-7AB9-9EF1-386AE0BF493D}"/>
            </a:ext>
          </a:extLst>
        </xdr:cNvPr>
        <xdr:cNvPicPr>
          <a:picLocks noChangeAspect="1"/>
        </xdr:cNvPicPr>
      </xdr:nvPicPr>
      <xdr:blipFill>
        <a:blip xmlns:r="http://schemas.openxmlformats.org/officeDocument/2006/relationships" r:embed="rId4"/>
        <a:stretch>
          <a:fillRect/>
        </a:stretch>
      </xdr:blipFill>
      <xdr:spPr>
        <a:xfrm>
          <a:off x="16386175" y="19910425"/>
          <a:ext cx="6309049" cy="3292645"/>
        </a:xfrm>
        <a:prstGeom prst="rect">
          <a:avLst/>
        </a:prstGeom>
      </xdr:spPr>
    </xdr:pic>
    <xdr:clientData/>
  </xdr:twoCellAnchor>
  <xdr:twoCellAnchor editAs="oneCell">
    <xdr:from>
      <xdr:col>19</xdr:col>
      <xdr:colOff>0</xdr:colOff>
      <xdr:row>41</xdr:row>
      <xdr:rowOff>0</xdr:rowOff>
    </xdr:from>
    <xdr:to>
      <xdr:col>32</xdr:col>
      <xdr:colOff>569557</xdr:colOff>
      <xdr:row>47</xdr:row>
      <xdr:rowOff>191221</xdr:rowOff>
    </xdr:to>
    <xdr:pic>
      <xdr:nvPicPr>
        <xdr:cNvPr id="6" name="Picture 5">
          <a:extLst>
            <a:ext uri="{FF2B5EF4-FFF2-40B4-BE49-F238E27FC236}">
              <a16:creationId xmlns:a16="http://schemas.microsoft.com/office/drawing/2014/main" id="{DC2A2CFA-708E-52FB-CAFD-AFE5AB418E42}"/>
            </a:ext>
          </a:extLst>
        </xdr:cNvPr>
        <xdr:cNvPicPr>
          <a:picLocks noChangeAspect="1"/>
        </xdr:cNvPicPr>
      </xdr:nvPicPr>
      <xdr:blipFill>
        <a:blip xmlns:r="http://schemas.openxmlformats.org/officeDocument/2006/relationships" r:embed="rId5"/>
        <a:stretch>
          <a:fillRect/>
        </a:stretch>
      </xdr:blipFill>
      <xdr:spPr>
        <a:xfrm>
          <a:off x="16395700" y="23774400"/>
          <a:ext cx="8830907" cy="5163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482600</xdr:colOff>
      <xdr:row>6</xdr:row>
      <xdr:rowOff>133350</xdr:rowOff>
    </xdr:from>
    <xdr:to>
      <xdr:col>15</xdr:col>
      <xdr:colOff>603442</xdr:colOff>
      <xdr:row>27</xdr:row>
      <xdr:rowOff>19247</xdr:rowOff>
    </xdr:to>
    <xdr:pic>
      <xdr:nvPicPr>
        <xdr:cNvPr id="2" name="Picture 1">
          <a:extLst>
            <a:ext uri="{FF2B5EF4-FFF2-40B4-BE49-F238E27FC236}">
              <a16:creationId xmlns:a16="http://schemas.microsoft.com/office/drawing/2014/main" id="{E5DC514B-1D14-D61D-2624-910BD62DF447}"/>
            </a:ext>
          </a:extLst>
        </xdr:cNvPr>
        <xdr:cNvPicPr>
          <a:picLocks noChangeAspect="1"/>
        </xdr:cNvPicPr>
      </xdr:nvPicPr>
      <xdr:blipFill>
        <a:blip xmlns:r="http://schemas.openxmlformats.org/officeDocument/2006/relationships" r:embed="rId1"/>
        <a:stretch>
          <a:fillRect/>
        </a:stretch>
      </xdr:blipFill>
      <xdr:spPr>
        <a:xfrm>
          <a:off x="6578600" y="1238250"/>
          <a:ext cx="3740342" cy="38355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tradingview.com/x/GpUzqZ8H/" TargetMode="External"/><Relationship Id="rId18" Type="http://schemas.openxmlformats.org/officeDocument/2006/relationships/hyperlink" Target="https://www.tradingview.com/x/i0zojxz0/" TargetMode="External"/><Relationship Id="rId26" Type="http://schemas.openxmlformats.org/officeDocument/2006/relationships/hyperlink" Target="https://www.tradingview.com/x/RhlNqxS3/" TargetMode="External"/><Relationship Id="rId39" Type="http://schemas.openxmlformats.org/officeDocument/2006/relationships/hyperlink" Target="https://www.tradingview.com/x/URHsfSuk/" TargetMode="External"/><Relationship Id="rId21" Type="http://schemas.openxmlformats.org/officeDocument/2006/relationships/hyperlink" Target="https://www.tradingview.com/x/zzIukFua/" TargetMode="External"/><Relationship Id="rId34" Type="http://schemas.openxmlformats.org/officeDocument/2006/relationships/hyperlink" Target="https://www.tradingview.com/x/uj7z1YUg/" TargetMode="External"/><Relationship Id="rId42" Type="http://schemas.openxmlformats.org/officeDocument/2006/relationships/hyperlink" Target="https://www.tradingview.com/x/5TiIA8a0/" TargetMode="External"/><Relationship Id="rId47" Type="http://schemas.openxmlformats.org/officeDocument/2006/relationships/printerSettings" Target="../printerSettings/printerSettings1.bin"/><Relationship Id="rId7" Type="http://schemas.openxmlformats.org/officeDocument/2006/relationships/hyperlink" Target="https://www.tradingview.com/x/EoB0NFUc/" TargetMode="External"/><Relationship Id="rId2" Type="http://schemas.openxmlformats.org/officeDocument/2006/relationships/hyperlink" Target="https://www.tradingview.com/x/owrWWnEw/" TargetMode="External"/><Relationship Id="rId16" Type="http://schemas.openxmlformats.org/officeDocument/2006/relationships/hyperlink" Target="https://www.tradingview.com/x/RrwbWAcM/" TargetMode="External"/><Relationship Id="rId29" Type="http://schemas.openxmlformats.org/officeDocument/2006/relationships/hyperlink" Target="https://www.tradingview.com/x/jgufMr9b/" TargetMode="External"/><Relationship Id="rId1" Type="http://schemas.openxmlformats.org/officeDocument/2006/relationships/hyperlink" Target="https://www.tradingview.com/x/aVaeT6uZ/?fbclid=IwY2xjawQTG7BleHRuA2FlbQIxMQBzcnRjBmFwcF9pZBAyMjIwMzkxNzg4MjAwODkyAAEeaQJoo65IGMCTzBqgWkH7wAXeVLp-6oDaT9Vxf4yQphwWj_36T-W9q9sxMwE_aem_oR99wkDt44vVSlylJBxRDg" TargetMode="External"/><Relationship Id="rId6" Type="http://schemas.openxmlformats.org/officeDocument/2006/relationships/hyperlink" Target="https://www.tradingview.com/x/yxwP182D/" TargetMode="External"/><Relationship Id="rId11" Type="http://schemas.openxmlformats.org/officeDocument/2006/relationships/hyperlink" Target="https://www.tradingview.com/x/2q89n2WW/" TargetMode="External"/><Relationship Id="rId24" Type="http://schemas.openxmlformats.org/officeDocument/2006/relationships/hyperlink" Target="https://www.tradingview.com/x/EKr8ezA9/" TargetMode="External"/><Relationship Id="rId32" Type="http://schemas.openxmlformats.org/officeDocument/2006/relationships/hyperlink" Target="https://www.tradingview.com/x/8jIJynhw/" TargetMode="External"/><Relationship Id="rId37" Type="http://schemas.openxmlformats.org/officeDocument/2006/relationships/hyperlink" Target="https://www.tradingview.com/x/rxSRfGye/" TargetMode="External"/><Relationship Id="rId40" Type="http://schemas.openxmlformats.org/officeDocument/2006/relationships/hyperlink" Target="https://www.tradingview.com/x/m03chXIC/" TargetMode="External"/><Relationship Id="rId45" Type="http://schemas.openxmlformats.org/officeDocument/2006/relationships/hyperlink" Target="https://www.tradingview.com/x/NzNatYtk/" TargetMode="External"/><Relationship Id="rId5" Type="http://schemas.openxmlformats.org/officeDocument/2006/relationships/hyperlink" Target="https://www.tradingview.com/x/FCrTDVIn/" TargetMode="External"/><Relationship Id="rId15" Type="http://schemas.openxmlformats.org/officeDocument/2006/relationships/hyperlink" Target="https://www.tradingview.com/x/DEifpymT/" TargetMode="External"/><Relationship Id="rId23" Type="http://schemas.openxmlformats.org/officeDocument/2006/relationships/hyperlink" Target="https://www.tradingview.com/x/RYTahbDP/" TargetMode="External"/><Relationship Id="rId28" Type="http://schemas.openxmlformats.org/officeDocument/2006/relationships/hyperlink" Target="https://www.tradingview.com/x/fvp4QTG0/" TargetMode="External"/><Relationship Id="rId36" Type="http://schemas.openxmlformats.org/officeDocument/2006/relationships/hyperlink" Target="https://www.tradingview.com/x/LEf1U01l/" TargetMode="External"/><Relationship Id="rId10" Type="http://schemas.openxmlformats.org/officeDocument/2006/relationships/hyperlink" Target="https://www.tradingview.com/x/stD7vrNo/" TargetMode="External"/><Relationship Id="rId19" Type="http://schemas.openxmlformats.org/officeDocument/2006/relationships/hyperlink" Target="https://www.tradingview.com/x/o706MnZ4/" TargetMode="External"/><Relationship Id="rId31" Type="http://schemas.openxmlformats.org/officeDocument/2006/relationships/hyperlink" Target="https://www.tradingview.com/x/EGf3kVgU/" TargetMode="External"/><Relationship Id="rId44" Type="http://schemas.openxmlformats.org/officeDocument/2006/relationships/hyperlink" Target="https://www.tradingview.com/x/QONop3nn/" TargetMode="External"/><Relationship Id="rId4" Type="http://schemas.openxmlformats.org/officeDocument/2006/relationships/hyperlink" Target="https://www.tradingview.com/x/tTqO1b1L/" TargetMode="External"/><Relationship Id="rId9" Type="http://schemas.openxmlformats.org/officeDocument/2006/relationships/hyperlink" Target="https://www.tradingview.com/x/T2DTdRLy/" TargetMode="External"/><Relationship Id="rId14" Type="http://schemas.openxmlformats.org/officeDocument/2006/relationships/hyperlink" Target="https://www.tradingview.com/x/VSjqm6vi/" TargetMode="External"/><Relationship Id="rId22" Type="http://schemas.openxmlformats.org/officeDocument/2006/relationships/hyperlink" Target="https://www.tradingview.com/x/xjN86DrM/" TargetMode="External"/><Relationship Id="rId27" Type="http://schemas.openxmlformats.org/officeDocument/2006/relationships/hyperlink" Target="https://www.tradingview.com/x/Wln3PYC6/" TargetMode="External"/><Relationship Id="rId30" Type="http://schemas.openxmlformats.org/officeDocument/2006/relationships/hyperlink" Target="https://www.tradingview.com/x/jgufMr9b/" TargetMode="External"/><Relationship Id="rId35" Type="http://schemas.openxmlformats.org/officeDocument/2006/relationships/hyperlink" Target="https://www.tradingview.com/x/tjtlAwxS/" TargetMode="External"/><Relationship Id="rId43" Type="http://schemas.openxmlformats.org/officeDocument/2006/relationships/hyperlink" Target="https://www.tradingview.com/x/dIo0LPFF/" TargetMode="External"/><Relationship Id="rId48" Type="http://schemas.openxmlformats.org/officeDocument/2006/relationships/drawing" Target="../drawings/drawing1.xml"/><Relationship Id="rId8" Type="http://schemas.openxmlformats.org/officeDocument/2006/relationships/hyperlink" Target="https://www.tradingview.com/x/T2DTdRLy/" TargetMode="External"/><Relationship Id="rId3" Type="http://schemas.openxmlformats.org/officeDocument/2006/relationships/hyperlink" Target="https://www.tradingview.com/x/CCi7FHHV/" TargetMode="External"/><Relationship Id="rId12" Type="http://schemas.openxmlformats.org/officeDocument/2006/relationships/hyperlink" Target="https://www.tradingview.com/x/139U3XRP/" TargetMode="External"/><Relationship Id="rId17" Type="http://schemas.openxmlformats.org/officeDocument/2006/relationships/hyperlink" Target="https://www.tradingview.com/x/9D78Pg8T/" TargetMode="External"/><Relationship Id="rId25" Type="http://schemas.openxmlformats.org/officeDocument/2006/relationships/hyperlink" Target="https://www.tradingview.com/x/pN6uuy8p/" TargetMode="External"/><Relationship Id="rId33" Type="http://schemas.openxmlformats.org/officeDocument/2006/relationships/hyperlink" Target="https://www.tradingview.com/x/BnnOsACb/" TargetMode="External"/><Relationship Id="rId38" Type="http://schemas.openxmlformats.org/officeDocument/2006/relationships/hyperlink" Target="https://www.tradingview.com/x/W6rMancC/" TargetMode="External"/><Relationship Id="rId46" Type="http://schemas.openxmlformats.org/officeDocument/2006/relationships/hyperlink" Target="https://www.tradingview.com/x/7ks04MVG/" TargetMode="External"/><Relationship Id="rId20" Type="http://schemas.openxmlformats.org/officeDocument/2006/relationships/hyperlink" Target="https://www.tradingview.com/x/o706MnZ4/" TargetMode="External"/><Relationship Id="rId41" Type="http://schemas.openxmlformats.org/officeDocument/2006/relationships/hyperlink" Target="https://www.tradingview.com/x/ujJsic1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1B9F6-33FC-4AE5-9610-7C196CEE5B90}">
  <dimension ref="B3:O27"/>
  <sheetViews>
    <sheetView workbookViewId="0">
      <selection activeCell="L28" sqref="L28"/>
    </sheetView>
  </sheetViews>
  <sheetFormatPr defaultRowHeight="14.5" x14ac:dyDescent="0.35"/>
  <cols>
    <col min="2" max="2" width="9.1796875" bestFit="1" customWidth="1"/>
  </cols>
  <sheetData>
    <row r="3" spans="2:15" x14ac:dyDescent="0.35">
      <c r="M3" t="s">
        <v>23</v>
      </c>
    </row>
    <row r="4" spans="2:15" x14ac:dyDescent="0.35">
      <c r="B4" s="1">
        <v>46079</v>
      </c>
      <c r="D4" t="s">
        <v>0</v>
      </c>
    </row>
    <row r="5" spans="2:15" x14ac:dyDescent="0.35">
      <c r="D5" t="s">
        <v>1</v>
      </c>
      <c r="N5" t="s">
        <v>25</v>
      </c>
    </row>
    <row r="6" spans="2:15" x14ac:dyDescent="0.35">
      <c r="D6" t="s">
        <v>2</v>
      </c>
    </row>
    <row r="7" spans="2:15" x14ac:dyDescent="0.35">
      <c r="D7" t="s">
        <v>3</v>
      </c>
    </row>
    <row r="8" spans="2:15" x14ac:dyDescent="0.35">
      <c r="B8" s="1">
        <v>46080</v>
      </c>
      <c r="D8" t="s">
        <v>4</v>
      </c>
      <c r="M8" t="s">
        <v>26</v>
      </c>
    </row>
    <row r="9" spans="2:15" x14ac:dyDescent="0.35">
      <c r="D9" t="s">
        <v>5</v>
      </c>
      <c r="N9" t="s">
        <v>27</v>
      </c>
    </row>
    <row r="10" spans="2:15" x14ac:dyDescent="0.35">
      <c r="D10" t="s">
        <v>6</v>
      </c>
      <c r="O10" t="s">
        <v>28</v>
      </c>
    </row>
    <row r="11" spans="2:15" x14ac:dyDescent="0.35">
      <c r="D11" t="s">
        <v>7</v>
      </c>
    </row>
    <row r="12" spans="2:15" x14ac:dyDescent="0.35">
      <c r="D12" t="s">
        <v>8</v>
      </c>
    </row>
    <row r="16" spans="2:15" x14ac:dyDescent="0.35">
      <c r="B16" t="s">
        <v>42</v>
      </c>
      <c r="G16" s="15" t="s">
        <v>18</v>
      </c>
      <c r="I16" t="s">
        <v>56</v>
      </c>
      <c r="L16" t="s">
        <v>76</v>
      </c>
    </row>
    <row r="17" spans="2:13" x14ac:dyDescent="0.35">
      <c r="B17" t="s">
        <v>43</v>
      </c>
      <c r="C17" t="s">
        <v>44</v>
      </c>
      <c r="G17" t="s">
        <v>33</v>
      </c>
      <c r="I17" s="9" t="s">
        <v>57</v>
      </c>
      <c r="L17" t="s">
        <v>77</v>
      </c>
    </row>
    <row r="18" spans="2:13" x14ac:dyDescent="0.35">
      <c r="G18" t="s">
        <v>49</v>
      </c>
      <c r="I18" s="10" t="s">
        <v>54</v>
      </c>
    </row>
    <row r="19" spans="2:13" x14ac:dyDescent="0.35">
      <c r="I19" s="11" t="s">
        <v>55</v>
      </c>
    </row>
    <row r="20" spans="2:13" x14ac:dyDescent="0.35">
      <c r="I20" t="s">
        <v>82</v>
      </c>
      <c r="L20" s="1">
        <v>46085</v>
      </c>
      <c r="M20" t="s">
        <v>78</v>
      </c>
    </row>
    <row r="21" spans="2:13" x14ac:dyDescent="0.35">
      <c r="M21" t="s">
        <v>79</v>
      </c>
    </row>
    <row r="22" spans="2:13" x14ac:dyDescent="0.35">
      <c r="M22" t="s">
        <v>80</v>
      </c>
    </row>
    <row r="23" spans="2:13" x14ac:dyDescent="0.35">
      <c r="G23" s="15" t="s">
        <v>83</v>
      </c>
      <c r="I23" s="15" t="s">
        <v>13</v>
      </c>
    </row>
    <row r="24" spans="2:13" x14ac:dyDescent="0.35">
      <c r="G24" t="s">
        <v>20</v>
      </c>
      <c r="I24" t="s">
        <v>59</v>
      </c>
      <c r="L24" t="s">
        <v>99</v>
      </c>
    </row>
    <row r="25" spans="2:13" x14ac:dyDescent="0.35">
      <c r="G25" t="s">
        <v>27</v>
      </c>
      <c r="I25" t="s">
        <v>48</v>
      </c>
      <c r="L25" t="s">
        <v>100</v>
      </c>
    </row>
    <row r="26" spans="2:13" x14ac:dyDescent="0.35">
      <c r="G26" t="s">
        <v>63</v>
      </c>
      <c r="I26" t="s">
        <v>31</v>
      </c>
    </row>
    <row r="27" spans="2:13" x14ac:dyDescent="0.35">
      <c r="L27"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8B09-7E8A-4A8A-B55A-B1D40EA3E9BF}">
  <dimension ref="A3:AI62"/>
  <sheetViews>
    <sheetView topLeftCell="B57" workbookViewId="0">
      <selection activeCell="O61" sqref="O61"/>
    </sheetView>
  </sheetViews>
  <sheetFormatPr defaultRowHeight="14.5" x14ac:dyDescent="0.35"/>
  <cols>
    <col min="1" max="1" width="34.26953125" customWidth="1"/>
    <col min="3" max="3" width="9.453125" bestFit="1" customWidth="1"/>
    <col min="5" max="5" width="10.26953125" bestFit="1" customWidth="1"/>
    <col min="6" max="6" width="15.81640625" customWidth="1"/>
    <col min="9" max="9" width="9.26953125" bestFit="1" customWidth="1"/>
    <col min="10" max="10" width="12.1796875" bestFit="1" customWidth="1"/>
    <col min="11" max="11" width="8.7265625" style="5"/>
    <col min="12" max="12" width="8.7265625" style="19"/>
    <col min="14" max="14" width="38.7265625" customWidth="1"/>
    <col min="28" max="28" width="13.26953125" customWidth="1"/>
    <col min="32" max="32" width="9" bestFit="1" customWidth="1"/>
    <col min="34" max="34" width="45.6328125" customWidth="1"/>
    <col min="35" max="35" width="17.453125" customWidth="1"/>
  </cols>
  <sheetData>
    <row r="3" spans="1:15" s="15" customFormat="1" x14ac:dyDescent="0.35">
      <c r="B3" s="15" t="s">
        <v>9</v>
      </c>
      <c r="C3" s="15" t="s">
        <v>10</v>
      </c>
      <c r="D3" s="15" t="s">
        <v>11</v>
      </c>
      <c r="E3" s="15" t="s">
        <v>24</v>
      </c>
      <c r="F3" s="30" t="s">
        <v>17</v>
      </c>
      <c r="G3" s="15" t="s">
        <v>12</v>
      </c>
      <c r="H3" s="15" t="s">
        <v>13</v>
      </c>
      <c r="I3" s="15" t="s">
        <v>14</v>
      </c>
      <c r="J3" s="15" t="s">
        <v>34</v>
      </c>
      <c r="K3" s="26" t="s">
        <v>15</v>
      </c>
      <c r="L3" s="27" t="s">
        <v>16</v>
      </c>
      <c r="M3" s="15" t="s">
        <v>18</v>
      </c>
      <c r="N3" s="15" t="s">
        <v>35</v>
      </c>
      <c r="O3" s="15" t="s">
        <v>17</v>
      </c>
    </row>
    <row r="4" spans="1:15" x14ac:dyDescent="0.35">
      <c r="A4" t="s">
        <v>19</v>
      </c>
      <c r="B4">
        <v>1</v>
      </c>
      <c r="C4" s="1">
        <v>46084</v>
      </c>
      <c r="D4" t="s">
        <v>21</v>
      </c>
      <c r="G4" t="s">
        <v>20</v>
      </c>
      <c r="H4" t="s">
        <v>59</v>
      </c>
      <c r="I4" s="18" t="s">
        <v>57</v>
      </c>
      <c r="J4" s="4">
        <v>15</v>
      </c>
      <c r="K4" s="5">
        <v>0</v>
      </c>
      <c r="L4" s="19">
        <v>0</v>
      </c>
      <c r="M4" t="s">
        <v>33</v>
      </c>
      <c r="N4" t="s">
        <v>75</v>
      </c>
      <c r="O4" s="2" t="s">
        <v>22</v>
      </c>
    </row>
    <row r="5" spans="1:15" ht="43.5" x14ac:dyDescent="0.35">
      <c r="B5">
        <v>2</v>
      </c>
      <c r="C5" s="1">
        <v>46084</v>
      </c>
      <c r="D5" t="s">
        <v>29</v>
      </c>
      <c r="E5" t="s">
        <v>30</v>
      </c>
      <c r="G5" t="s">
        <v>20</v>
      </c>
      <c r="H5" t="s">
        <v>31</v>
      </c>
      <c r="I5" s="10" t="s">
        <v>54</v>
      </c>
      <c r="J5" s="13">
        <v>30</v>
      </c>
      <c r="K5" s="6" t="s">
        <v>38</v>
      </c>
      <c r="L5" s="20" t="s">
        <v>45</v>
      </c>
      <c r="M5" t="s">
        <v>33</v>
      </c>
      <c r="N5" s="7" t="s">
        <v>47</v>
      </c>
      <c r="O5" s="3" t="s">
        <v>32</v>
      </c>
    </row>
    <row r="6" spans="1:15" ht="43.5" x14ac:dyDescent="0.35">
      <c r="B6">
        <v>3</v>
      </c>
      <c r="C6" s="1">
        <v>46084</v>
      </c>
      <c r="D6" t="s">
        <v>21</v>
      </c>
      <c r="E6" t="s">
        <v>30</v>
      </c>
      <c r="G6" t="s">
        <v>20</v>
      </c>
      <c r="H6" t="s">
        <v>31</v>
      </c>
      <c r="I6" s="10" t="s">
        <v>54</v>
      </c>
      <c r="J6" s="13">
        <v>30</v>
      </c>
      <c r="K6" s="6" t="s">
        <v>38</v>
      </c>
      <c r="L6" s="20" t="s">
        <v>46</v>
      </c>
      <c r="M6" t="s">
        <v>33</v>
      </c>
      <c r="N6" s="7" t="s">
        <v>47</v>
      </c>
    </row>
    <row r="7" spans="1:15" ht="29" x14ac:dyDescent="0.35">
      <c r="B7">
        <v>4</v>
      </c>
      <c r="C7" s="1">
        <v>46084</v>
      </c>
      <c r="D7" t="s">
        <v>36</v>
      </c>
      <c r="E7" t="s">
        <v>37</v>
      </c>
      <c r="G7" t="s">
        <v>20</v>
      </c>
      <c r="H7" t="s">
        <v>31</v>
      </c>
      <c r="I7" s="10" t="s">
        <v>54</v>
      </c>
      <c r="J7" s="4">
        <v>15</v>
      </c>
      <c r="K7" s="6" t="s">
        <v>38</v>
      </c>
      <c r="L7" s="20" t="s">
        <v>40</v>
      </c>
      <c r="M7" t="s">
        <v>33</v>
      </c>
      <c r="N7" s="8" t="s">
        <v>41</v>
      </c>
      <c r="O7" s="3" t="s">
        <v>39</v>
      </c>
    </row>
    <row r="8" spans="1:15" x14ac:dyDescent="0.35">
      <c r="B8">
        <v>5</v>
      </c>
      <c r="C8" s="1">
        <v>46084</v>
      </c>
      <c r="D8" t="s">
        <v>21</v>
      </c>
      <c r="E8" t="s">
        <v>37</v>
      </c>
      <c r="G8" t="s">
        <v>27</v>
      </c>
      <c r="H8" t="s">
        <v>48</v>
      </c>
      <c r="I8" s="17" t="s">
        <v>55</v>
      </c>
      <c r="J8" s="4">
        <v>15</v>
      </c>
      <c r="K8" s="6" t="s">
        <v>51</v>
      </c>
      <c r="L8" s="20" t="s">
        <v>52</v>
      </c>
      <c r="M8" t="s">
        <v>49</v>
      </c>
      <c r="N8" t="s">
        <v>53</v>
      </c>
      <c r="O8" s="3" t="s">
        <v>50</v>
      </c>
    </row>
    <row r="9" spans="1:15" ht="58" x14ac:dyDescent="0.35">
      <c r="B9">
        <v>6</v>
      </c>
      <c r="C9" s="1">
        <v>46084</v>
      </c>
      <c r="D9" t="s">
        <v>58</v>
      </c>
      <c r="E9" t="s">
        <v>37</v>
      </c>
      <c r="G9" t="s">
        <v>27</v>
      </c>
      <c r="H9" t="s">
        <v>59</v>
      </c>
      <c r="I9" s="10" t="s">
        <v>54</v>
      </c>
      <c r="J9" s="4">
        <v>15</v>
      </c>
      <c r="K9" s="6" t="s">
        <v>60</v>
      </c>
      <c r="L9" s="20" t="s">
        <v>62</v>
      </c>
      <c r="M9" t="s">
        <v>49</v>
      </c>
      <c r="N9" s="7" t="s">
        <v>61</v>
      </c>
    </row>
    <row r="10" spans="1:15" ht="58" x14ac:dyDescent="0.35">
      <c r="B10">
        <v>7</v>
      </c>
      <c r="C10" s="1">
        <v>46084</v>
      </c>
      <c r="D10" t="s">
        <v>29</v>
      </c>
      <c r="E10" t="s">
        <v>37</v>
      </c>
      <c r="G10" t="s">
        <v>63</v>
      </c>
      <c r="H10" t="s">
        <v>59</v>
      </c>
      <c r="I10" s="10" t="s">
        <v>54</v>
      </c>
      <c r="J10" s="4">
        <v>15</v>
      </c>
      <c r="K10" s="6" t="s">
        <v>60</v>
      </c>
      <c r="L10" s="20" t="s">
        <v>64</v>
      </c>
      <c r="M10" t="s">
        <v>49</v>
      </c>
      <c r="N10" s="7" t="s">
        <v>65</v>
      </c>
    </row>
    <row r="11" spans="1:15" ht="43.5" x14ac:dyDescent="0.35">
      <c r="B11">
        <v>8</v>
      </c>
      <c r="C11" s="1">
        <v>46084</v>
      </c>
      <c r="D11" t="s">
        <v>58</v>
      </c>
      <c r="E11" t="s">
        <v>37</v>
      </c>
      <c r="G11" t="s">
        <v>27</v>
      </c>
      <c r="H11" t="s">
        <v>59</v>
      </c>
      <c r="I11" s="10" t="s">
        <v>54</v>
      </c>
      <c r="J11" s="4">
        <v>15</v>
      </c>
      <c r="K11" s="6" t="s">
        <v>60</v>
      </c>
      <c r="L11" s="20" t="s">
        <v>69</v>
      </c>
      <c r="M11" t="s">
        <v>49</v>
      </c>
      <c r="N11" s="7" t="s">
        <v>70</v>
      </c>
    </row>
    <row r="12" spans="1:15" ht="87" x14ac:dyDescent="0.35">
      <c r="A12" s="10"/>
      <c r="B12">
        <v>9</v>
      </c>
      <c r="C12" s="1">
        <v>46084</v>
      </c>
      <c r="D12" t="s">
        <v>58</v>
      </c>
      <c r="E12" t="s">
        <v>37</v>
      </c>
      <c r="G12" t="s">
        <v>27</v>
      </c>
      <c r="H12" t="s">
        <v>59</v>
      </c>
      <c r="I12" s="10" t="s">
        <v>54</v>
      </c>
      <c r="J12" s="29">
        <v>45</v>
      </c>
      <c r="K12" s="6" t="s">
        <v>60</v>
      </c>
      <c r="L12" s="20" t="s">
        <v>71</v>
      </c>
      <c r="M12" t="s">
        <v>49</v>
      </c>
      <c r="N12" s="7" t="s">
        <v>74</v>
      </c>
      <c r="O12" s="3" t="s">
        <v>73</v>
      </c>
    </row>
    <row r="13" spans="1:15" ht="72.5" x14ac:dyDescent="0.35">
      <c r="B13">
        <v>10</v>
      </c>
      <c r="C13" s="1">
        <v>46085</v>
      </c>
      <c r="D13" t="s">
        <v>29</v>
      </c>
      <c r="E13" t="s">
        <v>37</v>
      </c>
      <c r="G13" t="s">
        <v>20</v>
      </c>
      <c r="H13" t="s">
        <v>31</v>
      </c>
      <c r="I13" s="10" t="s">
        <v>54</v>
      </c>
      <c r="J13" s="12">
        <v>15</v>
      </c>
      <c r="K13" s="6" t="s">
        <v>67</v>
      </c>
      <c r="L13" s="20" t="s">
        <v>68</v>
      </c>
      <c r="M13" t="s">
        <v>33</v>
      </c>
      <c r="N13" s="14" t="s">
        <v>72</v>
      </c>
      <c r="O13" s="3" t="s">
        <v>66</v>
      </c>
    </row>
    <row r="14" spans="1:15" ht="87" x14ac:dyDescent="0.35">
      <c r="A14" s="16" t="s">
        <v>81</v>
      </c>
      <c r="B14">
        <v>11</v>
      </c>
      <c r="C14" s="1">
        <v>46085</v>
      </c>
      <c r="D14" t="s">
        <v>29</v>
      </c>
      <c r="E14" t="s">
        <v>37</v>
      </c>
      <c r="G14" t="s">
        <v>63</v>
      </c>
      <c r="H14" t="s">
        <v>31</v>
      </c>
      <c r="I14" s="17" t="s">
        <v>55</v>
      </c>
      <c r="J14" s="4">
        <v>5</v>
      </c>
      <c r="K14" s="5" t="s">
        <v>85</v>
      </c>
      <c r="L14" s="20" t="s">
        <v>86</v>
      </c>
      <c r="M14" t="s">
        <v>33</v>
      </c>
      <c r="N14" s="7" t="s">
        <v>87</v>
      </c>
      <c r="O14" s="3" t="s">
        <v>84</v>
      </c>
    </row>
    <row r="15" spans="1:15" x14ac:dyDescent="0.35">
      <c r="B15">
        <v>12</v>
      </c>
      <c r="C15" s="1">
        <v>46086</v>
      </c>
      <c r="D15" t="s">
        <v>29</v>
      </c>
      <c r="E15" t="s">
        <v>37</v>
      </c>
      <c r="G15" t="s">
        <v>63</v>
      </c>
      <c r="H15" t="s">
        <v>31</v>
      </c>
      <c r="I15" s="18" t="s">
        <v>57</v>
      </c>
      <c r="J15" s="4">
        <v>5</v>
      </c>
      <c r="K15" s="5" t="s">
        <v>89</v>
      </c>
      <c r="L15" s="20" t="s">
        <v>90</v>
      </c>
      <c r="M15" t="s">
        <v>33</v>
      </c>
      <c r="N15" s="7" t="s">
        <v>91</v>
      </c>
      <c r="O15" s="3" t="s">
        <v>88</v>
      </c>
    </row>
    <row r="16" spans="1:15" ht="29" x14ac:dyDescent="0.35">
      <c r="B16">
        <v>13</v>
      </c>
      <c r="C16" s="1">
        <v>46086</v>
      </c>
      <c r="D16" t="s">
        <v>29</v>
      </c>
      <c r="E16" t="s">
        <v>37</v>
      </c>
      <c r="G16" t="s">
        <v>27</v>
      </c>
      <c r="H16" t="s">
        <v>31</v>
      </c>
      <c r="I16" s="18" t="s">
        <v>57</v>
      </c>
      <c r="J16" s="4">
        <v>5</v>
      </c>
      <c r="K16" s="5" t="s">
        <v>89</v>
      </c>
      <c r="L16" s="19">
        <v>0</v>
      </c>
      <c r="M16" t="s">
        <v>49</v>
      </c>
      <c r="N16" s="7" t="s">
        <v>93</v>
      </c>
    </row>
    <row r="17" spans="1:35" ht="43.5" x14ac:dyDescent="0.35">
      <c r="B17">
        <v>14</v>
      </c>
      <c r="C17" s="1">
        <v>46086</v>
      </c>
      <c r="D17" t="s">
        <v>29</v>
      </c>
      <c r="E17" t="s">
        <v>37</v>
      </c>
      <c r="G17" t="s">
        <v>27</v>
      </c>
      <c r="H17" t="s">
        <v>31</v>
      </c>
      <c r="I17" s="10" t="s">
        <v>54</v>
      </c>
      <c r="J17" s="4">
        <v>8</v>
      </c>
      <c r="K17" s="6" t="s">
        <v>38</v>
      </c>
      <c r="L17" s="20" t="s">
        <v>92</v>
      </c>
      <c r="M17" t="s">
        <v>49</v>
      </c>
      <c r="N17" s="7" t="s">
        <v>94</v>
      </c>
      <c r="O17" s="3" t="s">
        <v>95</v>
      </c>
    </row>
    <row r="18" spans="1:35" ht="58" x14ac:dyDescent="0.35">
      <c r="B18">
        <v>15</v>
      </c>
      <c r="C18" s="1">
        <v>46086</v>
      </c>
      <c r="D18" t="s">
        <v>29</v>
      </c>
      <c r="E18" t="s">
        <v>96</v>
      </c>
      <c r="G18" t="s">
        <v>20</v>
      </c>
      <c r="H18" t="s">
        <v>31</v>
      </c>
      <c r="I18" s="10" t="s">
        <v>54</v>
      </c>
      <c r="J18" s="4">
        <v>8</v>
      </c>
      <c r="K18" s="6" t="s">
        <v>38</v>
      </c>
      <c r="L18" s="20" t="s">
        <v>97</v>
      </c>
      <c r="M18" t="s">
        <v>49</v>
      </c>
      <c r="N18" s="7" t="s">
        <v>98</v>
      </c>
      <c r="O18" s="3" t="s">
        <v>95</v>
      </c>
    </row>
    <row r="19" spans="1:35" ht="43.5" x14ac:dyDescent="0.35">
      <c r="B19">
        <v>26</v>
      </c>
      <c r="C19" s="1">
        <v>46086</v>
      </c>
      <c r="D19" t="s">
        <v>29</v>
      </c>
      <c r="E19" t="s">
        <v>37</v>
      </c>
      <c r="G19" t="s">
        <v>27</v>
      </c>
      <c r="H19" t="s">
        <v>31</v>
      </c>
      <c r="I19" s="10" t="s">
        <v>54</v>
      </c>
      <c r="J19" s="4">
        <v>11</v>
      </c>
      <c r="K19" s="6" t="s">
        <v>38</v>
      </c>
      <c r="L19" s="20" t="s">
        <v>104</v>
      </c>
      <c r="M19" t="s">
        <v>33</v>
      </c>
      <c r="N19" s="7" t="s">
        <v>103</v>
      </c>
      <c r="O19" s="3" t="s">
        <v>102</v>
      </c>
    </row>
    <row r="20" spans="1:35" ht="29" x14ac:dyDescent="0.35">
      <c r="A20" t="s">
        <v>109</v>
      </c>
      <c r="B20">
        <v>27</v>
      </c>
      <c r="C20" s="1">
        <v>46086</v>
      </c>
      <c r="D20" t="s">
        <v>29</v>
      </c>
      <c r="E20" t="s">
        <v>105</v>
      </c>
      <c r="G20" t="s">
        <v>63</v>
      </c>
      <c r="H20" t="s">
        <v>31</v>
      </c>
      <c r="I20" s="10" t="s">
        <v>54</v>
      </c>
      <c r="J20" s="29">
        <v>30</v>
      </c>
      <c r="K20" s="6" t="s">
        <v>106</v>
      </c>
      <c r="L20" s="20" t="s">
        <v>107</v>
      </c>
      <c r="M20" t="s">
        <v>49</v>
      </c>
      <c r="N20" s="7" t="s">
        <v>108</v>
      </c>
    </row>
    <row r="21" spans="1:35" ht="58" x14ac:dyDescent="0.35">
      <c r="A21" t="s">
        <v>110</v>
      </c>
      <c r="B21">
        <v>28</v>
      </c>
      <c r="C21" s="1">
        <v>46086</v>
      </c>
      <c r="D21" t="s">
        <v>29</v>
      </c>
      <c r="E21" t="s">
        <v>96</v>
      </c>
      <c r="G21" t="s">
        <v>63</v>
      </c>
      <c r="H21" t="s">
        <v>31</v>
      </c>
      <c r="I21" s="10" t="s">
        <v>54</v>
      </c>
      <c r="J21" s="4">
        <v>15</v>
      </c>
      <c r="K21" s="6" t="s">
        <v>38</v>
      </c>
      <c r="L21" s="20" t="s">
        <v>111</v>
      </c>
      <c r="M21" t="s">
        <v>49</v>
      </c>
      <c r="N21" s="7" t="s">
        <v>112</v>
      </c>
    </row>
    <row r="22" spans="1:35" ht="58" x14ac:dyDescent="0.35">
      <c r="A22" s="7" t="s">
        <v>116</v>
      </c>
      <c r="B22">
        <v>29</v>
      </c>
      <c r="C22" s="1">
        <v>46086</v>
      </c>
      <c r="D22" t="s">
        <v>29</v>
      </c>
      <c r="E22" t="s">
        <v>37</v>
      </c>
      <c r="G22" t="s">
        <v>63</v>
      </c>
      <c r="H22" t="s">
        <v>48</v>
      </c>
      <c r="I22" s="17" t="s">
        <v>55</v>
      </c>
      <c r="J22" s="4">
        <v>15</v>
      </c>
      <c r="K22" s="6" t="s">
        <v>113</v>
      </c>
      <c r="L22" s="20" t="s">
        <v>114</v>
      </c>
      <c r="M22" t="s">
        <v>49</v>
      </c>
      <c r="N22" s="7" t="s">
        <v>115</v>
      </c>
      <c r="O22" s="3" t="s">
        <v>118</v>
      </c>
      <c r="AB22" t="s">
        <v>147</v>
      </c>
    </row>
    <row r="23" spans="1:35" ht="58" x14ac:dyDescent="0.35">
      <c r="A23" s="7" t="s">
        <v>117</v>
      </c>
      <c r="B23">
        <v>30</v>
      </c>
      <c r="C23" s="1">
        <v>46086</v>
      </c>
      <c r="D23" t="s">
        <v>119</v>
      </c>
      <c r="E23" t="s">
        <v>30</v>
      </c>
      <c r="G23" t="s">
        <v>20</v>
      </c>
      <c r="H23" t="s">
        <v>59</v>
      </c>
      <c r="I23" s="18" t="s">
        <v>57</v>
      </c>
      <c r="J23" s="4">
        <v>15</v>
      </c>
      <c r="K23" s="6" t="s">
        <v>120</v>
      </c>
      <c r="L23" s="20" t="s">
        <v>121</v>
      </c>
      <c r="M23" t="s">
        <v>33</v>
      </c>
      <c r="N23" s="7" t="s">
        <v>122</v>
      </c>
      <c r="O23" s="3" t="s">
        <v>125</v>
      </c>
      <c r="AB23" s="15" t="s">
        <v>141</v>
      </c>
      <c r="AC23" t="s">
        <v>143</v>
      </c>
      <c r="AD23" t="s">
        <v>145</v>
      </c>
      <c r="AE23" t="s">
        <v>144</v>
      </c>
      <c r="AF23" t="s">
        <v>146</v>
      </c>
    </row>
    <row r="24" spans="1:35" ht="72.5" x14ac:dyDescent="0.35">
      <c r="B24">
        <v>31</v>
      </c>
      <c r="C24" s="1">
        <v>46087</v>
      </c>
      <c r="D24" t="s">
        <v>123</v>
      </c>
      <c r="E24" t="s">
        <v>37</v>
      </c>
      <c r="G24" t="s">
        <v>27</v>
      </c>
      <c r="H24" t="s">
        <v>31</v>
      </c>
      <c r="I24" s="18" t="s">
        <v>57</v>
      </c>
      <c r="J24" s="21">
        <v>13.5</v>
      </c>
      <c r="K24" s="5" t="s">
        <v>89</v>
      </c>
      <c r="L24" s="20" t="s">
        <v>126</v>
      </c>
      <c r="M24" t="s">
        <v>33</v>
      </c>
      <c r="N24" s="7" t="s">
        <v>127</v>
      </c>
      <c r="O24" s="3" t="s">
        <v>124</v>
      </c>
      <c r="AB24" s="7" t="s">
        <v>305</v>
      </c>
      <c r="AC24" s="24" t="s">
        <v>142</v>
      </c>
      <c r="AD24">
        <v>0.67</v>
      </c>
      <c r="AE24" s="25">
        <v>0.4</v>
      </c>
      <c r="AF24" s="4">
        <v>141314</v>
      </c>
      <c r="AH24" s="7" t="s">
        <v>158</v>
      </c>
    </row>
    <row r="25" spans="1:35" ht="58" x14ac:dyDescent="0.35">
      <c r="B25">
        <v>32</v>
      </c>
      <c r="C25" s="1">
        <v>46087</v>
      </c>
      <c r="D25" t="s">
        <v>29</v>
      </c>
      <c r="E25" t="s">
        <v>37</v>
      </c>
      <c r="G25" t="s">
        <v>63</v>
      </c>
      <c r="H25" t="s">
        <v>31</v>
      </c>
      <c r="I25" s="17" t="s">
        <v>55</v>
      </c>
      <c r="J25" s="4">
        <v>5</v>
      </c>
      <c r="K25" s="5" t="s">
        <v>128</v>
      </c>
      <c r="L25" s="20" t="s">
        <v>129</v>
      </c>
      <c r="M25" t="s">
        <v>33</v>
      </c>
      <c r="N25" s="7" t="s">
        <v>130</v>
      </c>
      <c r="AB25" s="7" t="s">
        <v>157</v>
      </c>
      <c r="AC25" s="24" t="s">
        <v>230</v>
      </c>
      <c r="AD25">
        <v>1.03</v>
      </c>
      <c r="AE25" s="32">
        <v>0.28570000000000001</v>
      </c>
      <c r="AF25" s="4">
        <v>80888</v>
      </c>
      <c r="AH25" s="7" t="s">
        <v>231</v>
      </c>
      <c r="AI25" s="33" t="s">
        <v>232</v>
      </c>
    </row>
    <row r="26" spans="1:35" ht="101.5" x14ac:dyDescent="0.35">
      <c r="A26" s="22" t="s">
        <v>159</v>
      </c>
      <c r="B26">
        <v>33</v>
      </c>
      <c r="C26" s="1">
        <v>46088</v>
      </c>
      <c r="D26" t="s">
        <v>29</v>
      </c>
      <c r="E26" s="10" t="s">
        <v>133</v>
      </c>
      <c r="F26" s="10"/>
      <c r="G26" t="s">
        <v>27</v>
      </c>
      <c r="H26" t="s">
        <v>59</v>
      </c>
      <c r="I26" s="17" t="s">
        <v>55</v>
      </c>
      <c r="J26" s="4">
        <v>5</v>
      </c>
      <c r="K26" s="5" t="s">
        <v>128</v>
      </c>
      <c r="L26" s="20" t="s">
        <v>129</v>
      </c>
      <c r="M26" t="s">
        <v>49</v>
      </c>
      <c r="N26" s="7" t="s">
        <v>134</v>
      </c>
      <c r="O26" s="3" t="s">
        <v>135</v>
      </c>
      <c r="AB26" s="7" t="s">
        <v>300</v>
      </c>
      <c r="AC26" s="24" t="s">
        <v>307</v>
      </c>
      <c r="AD26">
        <v>2.82</v>
      </c>
      <c r="AE26" s="32">
        <v>0.55559999999999998</v>
      </c>
      <c r="AF26" s="4">
        <v>124858</v>
      </c>
      <c r="AH26" s="7" t="s">
        <v>301</v>
      </c>
      <c r="AI26" s="41" t="s">
        <v>306</v>
      </c>
    </row>
    <row r="27" spans="1:35" ht="58" x14ac:dyDescent="0.35">
      <c r="A27" s="23" t="s">
        <v>131</v>
      </c>
      <c r="B27">
        <v>34</v>
      </c>
      <c r="C27" s="1">
        <v>46088</v>
      </c>
      <c r="D27" t="s">
        <v>136</v>
      </c>
      <c r="E27" s="10" t="s">
        <v>137</v>
      </c>
      <c r="F27" s="10"/>
      <c r="G27" t="s">
        <v>20</v>
      </c>
      <c r="H27" t="s">
        <v>59</v>
      </c>
      <c r="I27" s="10" t="s">
        <v>54</v>
      </c>
      <c r="J27" s="4">
        <v>13</v>
      </c>
      <c r="K27" s="6" t="s">
        <v>67</v>
      </c>
      <c r="L27" s="20" t="s">
        <v>138</v>
      </c>
      <c r="M27" t="s">
        <v>33</v>
      </c>
      <c r="N27" s="7" t="s">
        <v>139</v>
      </c>
      <c r="O27" s="3" t="s">
        <v>140</v>
      </c>
      <c r="AB27" t="s">
        <v>148</v>
      </c>
    </row>
    <row r="28" spans="1:35" ht="59.5" x14ac:dyDescent="0.5">
      <c r="A28" s="28" t="s">
        <v>156</v>
      </c>
      <c r="B28">
        <v>35</v>
      </c>
      <c r="C28" s="1">
        <v>46089</v>
      </c>
      <c r="D28" t="s">
        <v>29</v>
      </c>
      <c r="E28" t="s">
        <v>37</v>
      </c>
      <c r="G28" t="s">
        <v>20</v>
      </c>
      <c r="H28" t="s">
        <v>48</v>
      </c>
      <c r="I28" s="10" t="s">
        <v>54</v>
      </c>
      <c r="J28" s="4">
        <v>5</v>
      </c>
      <c r="K28" s="6" t="s">
        <v>38</v>
      </c>
      <c r="L28" s="20" t="s">
        <v>150</v>
      </c>
      <c r="M28" t="s">
        <v>49</v>
      </c>
      <c r="N28" s="7" t="s">
        <v>151</v>
      </c>
      <c r="O28" s="3" t="s">
        <v>149</v>
      </c>
    </row>
    <row r="29" spans="1:35" ht="43.5" x14ac:dyDescent="0.35">
      <c r="A29" s="7" t="s">
        <v>132</v>
      </c>
      <c r="B29">
        <v>36</v>
      </c>
      <c r="C29" s="1">
        <v>46089</v>
      </c>
      <c r="D29" t="s">
        <v>29</v>
      </c>
      <c r="E29" t="s">
        <v>37</v>
      </c>
      <c r="G29" t="s">
        <v>63</v>
      </c>
      <c r="H29" t="s">
        <v>48</v>
      </c>
      <c r="I29" s="17" t="s">
        <v>55</v>
      </c>
      <c r="J29" s="4">
        <v>15</v>
      </c>
      <c r="K29" s="5" t="s">
        <v>155</v>
      </c>
      <c r="L29" s="20" t="s">
        <v>152</v>
      </c>
      <c r="M29" t="s">
        <v>49</v>
      </c>
      <c r="N29" s="7" t="s">
        <v>153</v>
      </c>
      <c r="O29" s="3" t="s">
        <v>154</v>
      </c>
    </row>
    <row r="30" spans="1:35" ht="58" x14ac:dyDescent="0.35">
      <c r="A30" s="7" t="s">
        <v>164</v>
      </c>
      <c r="B30">
        <v>37</v>
      </c>
      <c r="C30" s="1">
        <v>46090</v>
      </c>
      <c r="D30" t="s">
        <v>29</v>
      </c>
      <c r="E30" t="s">
        <v>37</v>
      </c>
      <c r="G30" t="s">
        <v>63</v>
      </c>
      <c r="H30" t="s">
        <v>31</v>
      </c>
      <c r="I30" s="10" t="s">
        <v>54</v>
      </c>
      <c r="J30" s="4">
        <v>13</v>
      </c>
      <c r="K30" s="6" t="s">
        <v>60</v>
      </c>
      <c r="L30" s="20" t="s">
        <v>160</v>
      </c>
      <c r="M30" t="s">
        <v>49</v>
      </c>
      <c r="N30" s="7" t="s">
        <v>161</v>
      </c>
      <c r="O30" s="3" t="s">
        <v>163</v>
      </c>
    </row>
    <row r="31" spans="1:35" ht="58" x14ac:dyDescent="0.35">
      <c r="A31" t="s">
        <v>165</v>
      </c>
      <c r="B31">
        <v>38</v>
      </c>
      <c r="C31" s="1">
        <v>46090</v>
      </c>
      <c r="D31" t="s">
        <v>29</v>
      </c>
      <c r="E31" t="s">
        <v>37</v>
      </c>
      <c r="G31" t="s">
        <v>63</v>
      </c>
      <c r="H31" t="s">
        <v>31</v>
      </c>
      <c r="I31" s="10" t="s">
        <v>54</v>
      </c>
      <c r="J31" s="4">
        <v>13</v>
      </c>
      <c r="K31" s="6" t="s">
        <v>38</v>
      </c>
      <c r="L31" s="20" t="s">
        <v>162</v>
      </c>
      <c r="M31" t="s">
        <v>49</v>
      </c>
      <c r="N31" s="7" t="s">
        <v>161</v>
      </c>
      <c r="O31" s="3" t="s">
        <v>163</v>
      </c>
    </row>
    <row r="32" spans="1:35" ht="29" x14ac:dyDescent="0.35">
      <c r="A32" s="7" t="s">
        <v>172</v>
      </c>
      <c r="B32">
        <v>39</v>
      </c>
      <c r="C32" s="1">
        <v>46090</v>
      </c>
      <c r="D32" t="s">
        <v>29</v>
      </c>
      <c r="E32" t="s">
        <v>37</v>
      </c>
      <c r="G32" t="s">
        <v>20</v>
      </c>
      <c r="H32" t="s">
        <v>31</v>
      </c>
      <c r="I32" s="10" t="s">
        <v>54</v>
      </c>
      <c r="J32" s="4">
        <v>13</v>
      </c>
      <c r="K32" s="6" t="s">
        <v>67</v>
      </c>
      <c r="L32" s="20" t="s">
        <v>166</v>
      </c>
      <c r="M32" t="s">
        <v>49</v>
      </c>
      <c r="N32" s="7" t="s">
        <v>167</v>
      </c>
      <c r="O32" s="3" t="s">
        <v>168</v>
      </c>
    </row>
    <row r="33" spans="1:15" x14ac:dyDescent="0.35">
      <c r="A33" s="7" t="s">
        <v>173</v>
      </c>
      <c r="B33">
        <v>40</v>
      </c>
      <c r="C33" s="1">
        <v>46090</v>
      </c>
      <c r="D33" t="s">
        <v>29</v>
      </c>
      <c r="E33" t="s">
        <v>105</v>
      </c>
      <c r="G33" t="s">
        <v>27</v>
      </c>
      <c r="H33" t="s">
        <v>31</v>
      </c>
      <c r="I33" s="10" t="s">
        <v>54</v>
      </c>
      <c r="J33" s="4">
        <v>13</v>
      </c>
      <c r="K33" s="6" t="s">
        <v>38</v>
      </c>
      <c r="L33" s="20" t="s">
        <v>169</v>
      </c>
      <c r="M33" t="s">
        <v>33</v>
      </c>
      <c r="N33" s="7" t="s">
        <v>170</v>
      </c>
      <c r="O33" s="3" t="s">
        <v>171</v>
      </c>
    </row>
    <row r="34" spans="1:15" ht="43.5" x14ac:dyDescent="0.35">
      <c r="A34" s="16" t="s">
        <v>174</v>
      </c>
      <c r="B34">
        <v>41</v>
      </c>
      <c r="C34" s="1">
        <v>46090</v>
      </c>
      <c r="D34" t="s">
        <v>175</v>
      </c>
      <c r="E34" t="s">
        <v>105</v>
      </c>
      <c r="G34" t="s">
        <v>27</v>
      </c>
      <c r="H34" t="s">
        <v>48</v>
      </c>
      <c r="I34" s="10" t="s">
        <v>54</v>
      </c>
      <c r="J34" s="13">
        <v>400</v>
      </c>
      <c r="K34" s="6" t="s">
        <v>176</v>
      </c>
      <c r="L34" s="20" t="s">
        <v>177</v>
      </c>
      <c r="M34" t="s">
        <v>49</v>
      </c>
      <c r="N34" s="7" t="s">
        <v>178</v>
      </c>
      <c r="O34" s="3" t="s">
        <v>179</v>
      </c>
    </row>
    <row r="35" spans="1:15" ht="29" x14ac:dyDescent="0.35">
      <c r="A35" s="22" t="s">
        <v>180</v>
      </c>
      <c r="B35">
        <v>42</v>
      </c>
      <c r="C35" s="1">
        <v>46090</v>
      </c>
      <c r="D35" t="s">
        <v>181</v>
      </c>
      <c r="E35" t="s">
        <v>37</v>
      </c>
      <c r="F35" s="7" t="s">
        <v>182</v>
      </c>
      <c r="G35" t="s">
        <v>20</v>
      </c>
      <c r="H35" t="s">
        <v>48</v>
      </c>
      <c r="I35" s="17" t="s">
        <v>55</v>
      </c>
      <c r="J35" s="4">
        <v>5</v>
      </c>
      <c r="K35" s="6" t="s">
        <v>113</v>
      </c>
      <c r="L35" s="20" t="s">
        <v>129</v>
      </c>
      <c r="M35" t="s">
        <v>49</v>
      </c>
      <c r="N35" s="7" t="s">
        <v>183</v>
      </c>
      <c r="O35" s="3" t="s">
        <v>184</v>
      </c>
    </row>
    <row r="36" spans="1:15" ht="58" x14ac:dyDescent="0.35">
      <c r="B36">
        <v>43</v>
      </c>
      <c r="C36" s="1">
        <v>46090</v>
      </c>
      <c r="D36" t="s">
        <v>29</v>
      </c>
      <c r="E36" t="s">
        <v>37</v>
      </c>
      <c r="F36" s="7" t="s">
        <v>185</v>
      </c>
      <c r="G36" t="s">
        <v>20</v>
      </c>
      <c r="H36" t="s">
        <v>59</v>
      </c>
      <c r="I36" s="10" t="s">
        <v>54</v>
      </c>
      <c r="J36" s="4">
        <v>5</v>
      </c>
      <c r="K36" s="6" t="s">
        <v>67</v>
      </c>
      <c r="L36" s="20" t="s">
        <v>107</v>
      </c>
      <c r="M36" t="s">
        <v>49</v>
      </c>
      <c r="N36" s="7" t="s">
        <v>186</v>
      </c>
      <c r="O36" s="3" t="s">
        <v>187</v>
      </c>
    </row>
    <row r="37" spans="1:15" ht="43.5" x14ac:dyDescent="0.35">
      <c r="B37">
        <v>44</v>
      </c>
      <c r="C37" s="1">
        <v>46090</v>
      </c>
      <c r="D37" t="s">
        <v>181</v>
      </c>
      <c r="E37" t="s">
        <v>37</v>
      </c>
      <c r="F37" s="7" t="s">
        <v>188</v>
      </c>
      <c r="G37" t="s">
        <v>20</v>
      </c>
      <c r="H37" t="s">
        <v>31</v>
      </c>
      <c r="I37" s="31" t="s">
        <v>57</v>
      </c>
      <c r="J37" s="4">
        <v>5</v>
      </c>
      <c r="K37" s="5" t="s">
        <v>89</v>
      </c>
      <c r="L37" s="20" t="s">
        <v>189</v>
      </c>
      <c r="M37" t="s">
        <v>33</v>
      </c>
      <c r="N37" s="7" t="s">
        <v>191</v>
      </c>
      <c r="O37" s="3" t="s">
        <v>190</v>
      </c>
    </row>
    <row r="38" spans="1:15" ht="43.5" x14ac:dyDescent="0.35">
      <c r="A38" t="s">
        <v>199</v>
      </c>
      <c r="B38">
        <v>45</v>
      </c>
      <c r="C38" s="1">
        <v>46092</v>
      </c>
      <c r="D38" t="s">
        <v>123</v>
      </c>
      <c r="E38" t="s">
        <v>37</v>
      </c>
      <c r="F38" s="7" t="s">
        <v>194</v>
      </c>
      <c r="G38" t="s">
        <v>20</v>
      </c>
      <c r="H38" t="s">
        <v>31</v>
      </c>
      <c r="I38" s="10" t="s">
        <v>54</v>
      </c>
      <c r="J38" s="4">
        <v>5</v>
      </c>
      <c r="K38" s="6" t="s">
        <v>38</v>
      </c>
      <c r="L38" s="20" t="s">
        <v>195</v>
      </c>
      <c r="M38" t="s">
        <v>33</v>
      </c>
      <c r="N38" s="7" t="s">
        <v>192</v>
      </c>
      <c r="O38" s="3" t="s">
        <v>193</v>
      </c>
    </row>
    <row r="39" spans="1:15" ht="43.5" x14ac:dyDescent="0.35">
      <c r="B39">
        <v>46</v>
      </c>
      <c r="C39" s="1">
        <v>46092</v>
      </c>
      <c r="D39" t="s">
        <v>196</v>
      </c>
      <c r="E39" t="s">
        <v>37</v>
      </c>
      <c r="G39" t="s">
        <v>20</v>
      </c>
      <c r="H39" t="s">
        <v>31</v>
      </c>
      <c r="I39" s="10" t="s">
        <v>54</v>
      </c>
      <c r="J39" s="4">
        <v>5</v>
      </c>
      <c r="K39" s="6" t="s">
        <v>38</v>
      </c>
      <c r="L39" s="20" t="s">
        <v>195</v>
      </c>
      <c r="M39" t="s">
        <v>33</v>
      </c>
      <c r="N39" s="7" t="s">
        <v>197</v>
      </c>
      <c r="O39" s="3" t="s">
        <v>198</v>
      </c>
    </row>
    <row r="40" spans="1:15" ht="43.5" x14ac:dyDescent="0.35">
      <c r="B40">
        <v>47</v>
      </c>
      <c r="C40" s="1">
        <v>46092</v>
      </c>
      <c r="D40" t="s">
        <v>200</v>
      </c>
      <c r="E40" t="s">
        <v>37</v>
      </c>
      <c r="F40" s="7" t="s">
        <v>201</v>
      </c>
      <c r="G40" t="s">
        <v>20</v>
      </c>
      <c r="H40" t="s">
        <v>48</v>
      </c>
      <c r="I40" s="10" t="s">
        <v>54</v>
      </c>
      <c r="J40" s="4">
        <v>4</v>
      </c>
      <c r="K40" s="6" t="s">
        <v>67</v>
      </c>
      <c r="L40" s="20" t="s">
        <v>203</v>
      </c>
      <c r="M40" t="s">
        <v>49</v>
      </c>
      <c r="N40" s="7" t="s">
        <v>202</v>
      </c>
    </row>
    <row r="41" spans="1:15" ht="29" x14ac:dyDescent="0.35">
      <c r="B41">
        <v>48</v>
      </c>
      <c r="C41" s="1">
        <v>46093</v>
      </c>
      <c r="D41" t="s">
        <v>204</v>
      </c>
      <c r="E41" t="s">
        <v>30</v>
      </c>
      <c r="F41" s="7" t="s">
        <v>205</v>
      </c>
      <c r="G41" t="s">
        <v>20</v>
      </c>
      <c r="H41" t="s">
        <v>31</v>
      </c>
      <c r="I41" s="18" t="s">
        <v>57</v>
      </c>
      <c r="J41" s="4">
        <v>15</v>
      </c>
      <c r="K41" s="5" t="s">
        <v>89</v>
      </c>
      <c r="L41" s="20" t="s">
        <v>189</v>
      </c>
      <c r="M41" t="s">
        <v>49</v>
      </c>
      <c r="N41" s="7" t="s">
        <v>206</v>
      </c>
      <c r="O41" s="3" t="s">
        <v>207</v>
      </c>
    </row>
    <row r="42" spans="1:15" ht="72.5" x14ac:dyDescent="0.35">
      <c r="B42">
        <v>49</v>
      </c>
      <c r="C42" s="1">
        <v>46093</v>
      </c>
      <c r="D42" t="s">
        <v>204</v>
      </c>
      <c r="E42" t="s">
        <v>37</v>
      </c>
      <c r="F42" s="7" t="s">
        <v>208</v>
      </c>
      <c r="G42" t="s">
        <v>20</v>
      </c>
      <c r="H42" t="s">
        <v>48</v>
      </c>
      <c r="I42" s="18" t="s">
        <v>57</v>
      </c>
      <c r="J42" s="4">
        <v>15</v>
      </c>
      <c r="K42" s="5" t="s">
        <v>89</v>
      </c>
      <c r="L42" s="20" t="s">
        <v>212</v>
      </c>
      <c r="M42" t="s">
        <v>49</v>
      </c>
      <c r="N42" s="7" t="s">
        <v>209</v>
      </c>
      <c r="O42" s="3" t="s">
        <v>207</v>
      </c>
    </row>
    <row r="43" spans="1:15" ht="101.5" x14ac:dyDescent="0.35">
      <c r="A43" t="s">
        <v>234</v>
      </c>
      <c r="B43">
        <v>50</v>
      </c>
      <c r="C43" s="1">
        <v>46093</v>
      </c>
      <c r="D43" t="s">
        <v>29</v>
      </c>
      <c r="E43" t="s">
        <v>37</v>
      </c>
      <c r="F43" s="7" t="s">
        <v>210</v>
      </c>
      <c r="G43" t="s">
        <v>20</v>
      </c>
      <c r="H43" t="s">
        <v>59</v>
      </c>
      <c r="I43" s="17" t="s">
        <v>55</v>
      </c>
      <c r="J43" s="13">
        <v>200</v>
      </c>
      <c r="K43" s="6" t="s">
        <v>211</v>
      </c>
      <c r="L43" s="20" t="s">
        <v>213</v>
      </c>
      <c r="M43" t="s">
        <v>49</v>
      </c>
      <c r="N43" s="7" t="s">
        <v>214</v>
      </c>
      <c r="O43" s="3" t="s">
        <v>215</v>
      </c>
    </row>
    <row r="44" spans="1:15" ht="58" x14ac:dyDescent="0.35">
      <c r="C44" s="1">
        <v>46093</v>
      </c>
      <c r="D44" t="s">
        <v>29</v>
      </c>
      <c r="E44" t="s">
        <v>37</v>
      </c>
      <c r="F44" s="7" t="s">
        <v>216</v>
      </c>
      <c r="G44" t="s">
        <v>20</v>
      </c>
      <c r="H44" t="s">
        <v>59</v>
      </c>
      <c r="I44" s="17" t="s">
        <v>55</v>
      </c>
      <c r="J44" s="4">
        <v>7</v>
      </c>
      <c r="K44" s="6" t="s">
        <v>217</v>
      </c>
      <c r="L44" s="20" t="s">
        <v>218</v>
      </c>
      <c r="M44" t="s">
        <v>33</v>
      </c>
      <c r="N44" s="7" t="s">
        <v>219</v>
      </c>
      <c r="O44" s="3" t="s">
        <v>220</v>
      </c>
    </row>
    <row r="45" spans="1:15" ht="58" x14ac:dyDescent="0.35">
      <c r="C45" s="1">
        <v>46095</v>
      </c>
      <c r="D45" t="s">
        <v>181</v>
      </c>
      <c r="E45" t="s">
        <v>37</v>
      </c>
      <c r="F45" s="7" t="s">
        <v>221</v>
      </c>
      <c r="G45" t="s">
        <v>20</v>
      </c>
      <c r="H45" t="s">
        <v>59</v>
      </c>
      <c r="I45" s="10" t="s">
        <v>54</v>
      </c>
      <c r="J45" s="4">
        <v>10</v>
      </c>
      <c r="K45" s="6" t="s">
        <v>67</v>
      </c>
      <c r="L45" s="20" t="s">
        <v>46</v>
      </c>
      <c r="M45" t="s">
        <v>33</v>
      </c>
      <c r="N45" s="7" t="s">
        <v>222</v>
      </c>
      <c r="O45" s="3" t="s">
        <v>227</v>
      </c>
    </row>
    <row r="46" spans="1:15" ht="58" x14ac:dyDescent="0.35">
      <c r="A46" t="s">
        <v>233</v>
      </c>
      <c r="C46" s="1">
        <v>46095</v>
      </c>
      <c r="D46" t="s">
        <v>29</v>
      </c>
      <c r="E46" s="10" t="s">
        <v>229</v>
      </c>
      <c r="F46" s="7" t="s">
        <v>223</v>
      </c>
      <c r="G46" t="s">
        <v>27</v>
      </c>
      <c r="H46" t="s">
        <v>59</v>
      </c>
      <c r="I46" s="10" t="s">
        <v>54</v>
      </c>
      <c r="J46" s="13">
        <v>400</v>
      </c>
      <c r="K46" s="6" t="s">
        <v>224</v>
      </c>
      <c r="L46" s="20" t="s">
        <v>225</v>
      </c>
      <c r="M46" t="s">
        <v>33</v>
      </c>
      <c r="N46" s="7" t="s">
        <v>226</v>
      </c>
      <c r="O46" s="3" t="s">
        <v>228</v>
      </c>
    </row>
    <row r="47" spans="1:15" ht="43.5" x14ac:dyDescent="0.35">
      <c r="C47" s="1">
        <v>46095</v>
      </c>
      <c r="D47" t="s">
        <v>29</v>
      </c>
      <c r="E47" t="s">
        <v>37</v>
      </c>
      <c r="F47" s="7" t="s">
        <v>235</v>
      </c>
      <c r="G47" t="s">
        <v>20</v>
      </c>
      <c r="H47" t="s">
        <v>31</v>
      </c>
      <c r="I47" s="17" t="s">
        <v>55</v>
      </c>
      <c r="J47" s="4">
        <v>15</v>
      </c>
      <c r="K47" s="6" t="s">
        <v>238</v>
      </c>
      <c r="L47" s="20" t="s">
        <v>129</v>
      </c>
      <c r="M47" t="s">
        <v>33</v>
      </c>
      <c r="N47" s="7" t="s">
        <v>236</v>
      </c>
      <c r="O47" s="3" t="s">
        <v>237</v>
      </c>
    </row>
    <row r="48" spans="1:15" ht="74" x14ac:dyDescent="0.5">
      <c r="A48" s="28" t="s">
        <v>239</v>
      </c>
      <c r="C48" s="1">
        <v>46097</v>
      </c>
      <c r="D48" t="s">
        <v>240</v>
      </c>
      <c r="E48" t="s">
        <v>229</v>
      </c>
      <c r="F48" s="7" t="s">
        <v>241</v>
      </c>
      <c r="G48" t="s">
        <v>20</v>
      </c>
      <c r="H48" t="s">
        <v>31</v>
      </c>
      <c r="I48" s="31" t="s">
        <v>57</v>
      </c>
      <c r="J48" s="4">
        <v>50</v>
      </c>
      <c r="K48" s="5" t="s">
        <v>89</v>
      </c>
      <c r="L48" s="20" t="s">
        <v>245</v>
      </c>
      <c r="M48" t="s">
        <v>33</v>
      </c>
      <c r="N48" s="7" t="s">
        <v>247</v>
      </c>
      <c r="O48" s="3" t="s">
        <v>242</v>
      </c>
    </row>
    <row r="49" spans="1:19" ht="72.5" x14ac:dyDescent="0.35">
      <c r="A49" s="7" t="s">
        <v>248</v>
      </c>
      <c r="C49" s="1">
        <v>46097</v>
      </c>
      <c r="D49" t="s">
        <v>29</v>
      </c>
      <c r="E49" t="s">
        <v>229</v>
      </c>
      <c r="F49" s="7" t="s">
        <v>243</v>
      </c>
      <c r="G49" t="s">
        <v>20</v>
      </c>
      <c r="H49" t="s">
        <v>31</v>
      </c>
      <c r="I49" s="31" t="s">
        <v>57</v>
      </c>
      <c r="J49" s="4">
        <v>15</v>
      </c>
      <c r="K49" s="5" t="s">
        <v>89</v>
      </c>
      <c r="L49" s="20" t="s">
        <v>246</v>
      </c>
      <c r="M49" t="s">
        <v>33</v>
      </c>
      <c r="N49" s="7" t="s">
        <v>247</v>
      </c>
      <c r="O49" s="3" t="s">
        <v>244</v>
      </c>
    </row>
    <row r="50" spans="1:19" ht="87" x14ac:dyDescent="0.35">
      <c r="C50" s="1">
        <v>46098</v>
      </c>
      <c r="D50" t="s">
        <v>29</v>
      </c>
      <c r="E50" t="s">
        <v>37</v>
      </c>
      <c r="F50" s="7" t="s">
        <v>249</v>
      </c>
      <c r="G50" t="s">
        <v>63</v>
      </c>
      <c r="H50" t="s">
        <v>59</v>
      </c>
      <c r="I50" s="10" t="s">
        <v>54</v>
      </c>
      <c r="J50" s="4">
        <v>15</v>
      </c>
      <c r="K50" s="6" t="s">
        <v>67</v>
      </c>
      <c r="L50" s="20" t="s">
        <v>250</v>
      </c>
      <c r="M50" t="s">
        <v>49</v>
      </c>
      <c r="N50" s="7" t="s">
        <v>251</v>
      </c>
      <c r="O50" s="3" t="s">
        <v>252</v>
      </c>
    </row>
    <row r="51" spans="1:19" ht="58" x14ac:dyDescent="0.35">
      <c r="C51" s="1">
        <v>46098</v>
      </c>
      <c r="D51" t="s">
        <v>29</v>
      </c>
      <c r="E51" t="s">
        <v>37</v>
      </c>
      <c r="F51" s="7" t="s">
        <v>253</v>
      </c>
      <c r="G51" t="s">
        <v>63</v>
      </c>
      <c r="H51" t="s">
        <v>31</v>
      </c>
      <c r="I51" s="17" t="s">
        <v>55</v>
      </c>
      <c r="J51" s="35" t="s">
        <v>258</v>
      </c>
      <c r="K51" s="6" t="s">
        <v>256</v>
      </c>
      <c r="L51" s="34" t="s">
        <v>257</v>
      </c>
      <c r="M51" t="s">
        <v>49</v>
      </c>
      <c r="N51" s="7" t="s">
        <v>254</v>
      </c>
      <c r="O51" s="3" t="s">
        <v>255</v>
      </c>
    </row>
    <row r="52" spans="1:19" ht="43.5" x14ac:dyDescent="0.35">
      <c r="C52" s="1">
        <v>46099</v>
      </c>
      <c r="D52" t="s">
        <v>259</v>
      </c>
      <c r="E52" t="s">
        <v>37</v>
      </c>
      <c r="F52" s="7" t="s">
        <v>260</v>
      </c>
      <c r="G52" t="s">
        <v>20</v>
      </c>
      <c r="H52" t="s">
        <v>59</v>
      </c>
      <c r="I52" s="17" t="s">
        <v>55</v>
      </c>
      <c r="J52" s="4">
        <v>150</v>
      </c>
      <c r="K52" s="6" t="s">
        <v>217</v>
      </c>
      <c r="L52" s="34" t="s">
        <v>261</v>
      </c>
      <c r="M52" t="s">
        <v>49</v>
      </c>
      <c r="N52" s="7" t="s">
        <v>262</v>
      </c>
      <c r="O52" s="3" t="s">
        <v>263</v>
      </c>
    </row>
    <row r="53" spans="1:19" ht="101.5" x14ac:dyDescent="0.35">
      <c r="C53" s="1">
        <v>46099</v>
      </c>
      <c r="D53" t="s">
        <v>29</v>
      </c>
      <c r="E53" t="s">
        <v>37</v>
      </c>
      <c r="F53" s="7" t="s">
        <v>264</v>
      </c>
      <c r="G53" t="s">
        <v>20</v>
      </c>
      <c r="H53" t="s">
        <v>31</v>
      </c>
      <c r="I53" s="10" t="s">
        <v>54</v>
      </c>
      <c r="J53" s="4">
        <v>5</v>
      </c>
      <c r="K53" s="6" t="s">
        <v>67</v>
      </c>
      <c r="L53" s="20" t="s">
        <v>169</v>
      </c>
      <c r="M53" t="s">
        <v>49</v>
      </c>
      <c r="N53" s="7" t="s">
        <v>269</v>
      </c>
    </row>
    <row r="54" spans="1:19" ht="43.5" x14ac:dyDescent="0.35">
      <c r="C54" s="1">
        <v>46099</v>
      </c>
      <c r="D54" t="s">
        <v>259</v>
      </c>
      <c r="E54" t="s">
        <v>37</v>
      </c>
      <c r="F54" s="7" t="s">
        <v>265</v>
      </c>
      <c r="G54" t="s">
        <v>20</v>
      </c>
      <c r="H54" t="s">
        <v>31</v>
      </c>
      <c r="I54" s="17" t="s">
        <v>55</v>
      </c>
      <c r="J54" s="4">
        <v>15</v>
      </c>
      <c r="K54" s="6" t="s">
        <v>113</v>
      </c>
      <c r="L54" s="20" t="s">
        <v>267</v>
      </c>
      <c r="M54" t="s">
        <v>49</v>
      </c>
      <c r="N54" s="7" t="s">
        <v>266</v>
      </c>
      <c r="O54" s="3" t="s">
        <v>268</v>
      </c>
    </row>
    <row r="55" spans="1:19" ht="72.5" x14ac:dyDescent="0.35">
      <c r="A55" s="36" t="s">
        <v>270</v>
      </c>
      <c r="C55" s="1">
        <v>46099</v>
      </c>
      <c r="D55" t="s">
        <v>259</v>
      </c>
      <c r="E55" t="s">
        <v>37</v>
      </c>
      <c r="F55" s="7" t="s">
        <v>271</v>
      </c>
      <c r="G55" t="s">
        <v>20</v>
      </c>
      <c r="H55" t="s">
        <v>59</v>
      </c>
      <c r="I55" s="10" t="s">
        <v>54</v>
      </c>
      <c r="J55" s="5" t="s">
        <v>272</v>
      </c>
      <c r="K55" s="6" t="s">
        <v>273</v>
      </c>
      <c r="L55" s="19" t="s">
        <v>274</v>
      </c>
      <c r="M55" t="s">
        <v>49</v>
      </c>
      <c r="N55" s="7" t="s">
        <v>275</v>
      </c>
    </row>
    <row r="56" spans="1:19" ht="29" x14ac:dyDescent="0.35">
      <c r="C56" s="1">
        <v>46099</v>
      </c>
      <c r="D56" t="s">
        <v>119</v>
      </c>
      <c r="E56" t="s">
        <v>37</v>
      </c>
      <c r="F56" s="7" t="s">
        <v>289</v>
      </c>
      <c r="G56" t="s">
        <v>20</v>
      </c>
      <c r="H56" t="s">
        <v>48</v>
      </c>
      <c r="I56" s="17" t="s">
        <v>55</v>
      </c>
      <c r="J56" s="4">
        <v>30</v>
      </c>
      <c r="K56" s="6" t="s">
        <v>238</v>
      </c>
      <c r="L56" s="20" t="s">
        <v>296</v>
      </c>
      <c r="M56" t="s">
        <v>49</v>
      </c>
      <c r="N56" s="7" t="s">
        <v>290</v>
      </c>
      <c r="O56" s="3" t="s">
        <v>291</v>
      </c>
    </row>
    <row r="57" spans="1:19" ht="72.5" x14ac:dyDescent="0.35">
      <c r="C57" s="1">
        <v>46103</v>
      </c>
      <c r="D57" t="s">
        <v>119</v>
      </c>
      <c r="E57" t="s">
        <v>37</v>
      </c>
      <c r="F57" s="7" t="s">
        <v>297</v>
      </c>
      <c r="G57" t="s">
        <v>20</v>
      </c>
      <c r="H57" t="s">
        <v>31</v>
      </c>
      <c r="I57" s="10" t="s">
        <v>54</v>
      </c>
      <c r="J57" s="4">
        <v>15</v>
      </c>
      <c r="K57" s="6" t="s">
        <v>309</v>
      </c>
      <c r="L57" s="20" t="s">
        <v>310</v>
      </c>
      <c r="M57" t="s">
        <v>49</v>
      </c>
      <c r="N57" s="7" t="s">
        <v>299</v>
      </c>
      <c r="O57" s="3" t="s">
        <v>298</v>
      </c>
      <c r="S57" t="s">
        <v>313</v>
      </c>
    </row>
    <row r="58" spans="1:19" ht="60" x14ac:dyDescent="0.55000000000000004">
      <c r="A58" s="42" t="s">
        <v>302</v>
      </c>
      <c r="C58" s="1">
        <v>46104</v>
      </c>
      <c r="D58" t="s">
        <v>119</v>
      </c>
      <c r="E58" t="s">
        <v>37</v>
      </c>
      <c r="F58" s="7" t="s">
        <v>308</v>
      </c>
      <c r="G58" t="s">
        <v>20</v>
      </c>
      <c r="H58" t="s">
        <v>31</v>
      </c>
      <c r="I58" s="10" t="s">
        <v>54</v>
      </c>
      <c r="J58" s="4">
        <v>10</v>
      </c>
      <c r="K58" s="6" t="s">
        <v>67</v>
      </c>
      <c r="L58" s="20" t="s">
        <v>46</v>
      </c>
      <c r="M58" t="s">
        <v>49</v>
      </c>
      <c r="N58" s="7" t="s">
        <v>311</v>
      </c>
      <c r="O58" s="3" t="s">
        <v>312</v>
      </c>
    </row>
    <row r="59" spans="1:19" ht="72.5" x14ac:dyDescent="0.35">
      <c r="A59" t="s">
        <v>303</v>
      </c>
      <c r="C59" s="1">
        <v>46105</v>
      </c>
      <c r="D59" t="s">
        <v>196</v>
      </c>
      <c r="E59" t="s">
        <v>96</v>
      </c>
      <c r="G59" t="s">
        <v>27</v>
      </c>
      <c r="H59" t="s">
        <v>31</v>
      </c>
      <c r="I59" s="10" t="s">
        <v>54</v>
      </c>
      <c r="J59" s="43" t="s">
        <v>319</v>
      </c>
      <c r="L59" s="20" t="s">
        <v>315</v>
      </c>
      <c r="M59" t="s">
        <v>49</v>
      </c>
      <c r="N59" s="7" t="s">
        <v>316</v>
      </c>
      <c r="O59" s="3" t="s">
        <v>317</v>
      </c>
    </row>
    <row r="60" spans="1:19" ht="43.5" x14ac:dyDescent="0.35">
      <c r="A60" t="s">
        <v>304</v>
      </c>
      <c r="C60" s="1">
        <v>46105</v>
      </c>
      <c r="D60" t="s">
        <v>119</v>
      </c>
      <c r="E60" t="s">
        <v>37</v>
      </c>
      <c r="F60" s="7" t="s">
        <v>318</v>
      </c>
      <c r="G60" t="s">
        <v>20</v>
      </c>
      <c r="H60" t="s">
        <v>31</v>
      </c>
      <c r="I60" s="10" t="s">
        <v>54</v>
      </c>
      <c r="J60" s="4">
        <v>15</v>
      </c>
      <c r="K60" s="6" t="s">
        <v>320</v>
      </c>
      <c r="L60" s="20" t="s">
        <v>46</v>
      </c>
      <c r="M60" t="s">
        <v>49</v>
      </c>
      <c r="N60" s="7" t="s">
        <v>321</v>
      </c>
      <c r="O60" s="3" t="s">
        <v>322</v>
      </c>
    </row>
    <row r="62" spans="1:19" ht="29" x14ac:dyDescent="0.35">
      <c r="A62" s="7" t="s">
        <v>314</v>
      </c>
    </row>
  </sheetData>
  <hyperlinks>
    <hyperlink ref="O4" r:id="rId1" xr:uid="{56374C6F-AFF3-4A5D-AAA0-C36DBBE478E4}"/>
    <hyperlink ref="O5" r:id="rId2" xr:uid="{701B343D-A0B6-4080-A79A-7520F6485492}"/>
    <hyperlink ref="O7" r:id="rId3" xr:uid="{992FCC57-FA88-43B0-A096-33F4D1FA4281}"/>
    <hyperlink ref="O8" r:id="rId4" xr:uid="{C65B4301-B587-4DE4-B13D-3E7E1D4A789E}"/>
    <hyperlink ref="O13" r:id="rId5" xr:uid="{06D0CA7C-6F42-4D64-90E5-122601B1D2D9}"/>
    <hyperlink ref="O15" r:id="rId6" xr:uid="{7A1DEBA8-418F-4500-87D5-8DB76392E91A}"/>
    <hyperlink ref="O14" r:id="rId7" xr:uid="{9E297258-7386-4856-BF39-C3FF85BC5084}"/>
    <hyperlink ref="O17" r:id="rId8" xr:uid="{5A4C0F6E-1A81-42A1-B544-E63B8FF8B250}"/>
    <hyperlink ref="O18" r:id="rId9" xr:uid="{022C420D-4814-4238-9EEF-EF67B14AF249}"/>
    <hyperlink ref="O19" r:id="rId10" xr:uid="{9767CDFA-C7DE-49D3-819A-0168CD932029}"/>
    <hyperlink ref="O22" r:id="rId11" xr:uid="{21FE1FF0-8B8A-425A-9161-74CE22F9FA05}"/>
    <hyperlink ref="O24" r:id="rId12" xr:uid="{6420AF24-FECC-447A-ABB2-79DA3DAB9896}"/>
    <hyperlink ref="O23" r:id="rId13" xr:uid="{B7B8D9BA-3B77-4EFE-ADD4-B6A131FB8C76}"/>
    <hyperlink ref="O26" r:id="rId14" xr:uid="{68449996-F587-49FF-B6C5-F670E899D3E0}"/>
    <hyperlink ref="O27" r:id="rId15" xr:uid="{039F1A8E-5691-416F-90DF-C646EE0D0A18}"/>
    <hyperlink ref="O28" r:id="rId16" xr:uid="{54414090-081B-4F31-A876-FB3727643D60}"/>
    <hyperlink ref="O29" r:id="rId17" xr:uid="{9373D4A0-035B-4322-90AA-93F99C1720F5}"/>
    <hyperlink ref="O12" r:id="rId18" xr:uid="{A24DAEC9-61F5-4558-8810-7567438D5B35}"/>
    <hyperlink ref="O30" r:id="rId19" xr:uid="{2C916766-64A4-4C2B-81E7-44FE56AC7F2B}"/>
    <hyperlink ref="O31" r:id="rId20" xr:uid="{3B308F08-07C1-4CED-9C5C-750E19DFB4F6}"/>
    <hyperlink ref="O32" r:id="rId21" xr:uid="{110BB456-EC64-460D-B243-52DAF4FCDE38}"/>
    <hyperlink ref="O33" r:id="rId22" xr:uid="{36B1A761-251C-475D-8E30-9E20ABE5DA80}"/>
    <hyperlink ref="O34" r:id="rId23" xr:uid="{CDDA6CB2-C83E-4C0A-AF5B-09D09C2581FD}"/>
    <hyperlink ref="O35" r:id="rId24" xr:uid="{F33B85E8-2A41-4474-9B89-596C14E2324C}"/>
    <hyperlink ref="O36" r:id="rId25" xr:uid="{470A4C35-5ACA-42C1-A269-084583613502}"/>
    <hyperlink ref="O37" r:id="rId26" xr:uid="{3206A0F4-BE74-45D1-8C82-46D1D2C18F28}"/>
    <hyperlink ref="O38" r:id="rId27" xr:uid="{9248AEBB-DE57-47BC-BF54-DED464331D43}"/>
    <hyperlink ref="O39" r:id="rId28" xr:uid="{F0C9D69B-138E-4A15-B22B-BC699CFE4D1D}"/>
    <hyperlink ref="O41" r:id="rId29" xr:uid="{E010E6D2-F24A-46DD-A6F2-326764DF0F18}"/>
    <hyperlink ref="O42" r:id="rId30" xr:uid="{32305691-E7EB-4BF4-886D-4BC43FFB094A}"/>
    <hyperlink ref="O43" r:id="rId31" xr:uid="{7AA24D8F-F9C0-4768-8F3F-BF3EEADD022F}"/>
    <hyperlink ref="O44" r:id="rId32" xr:uid="{56DBAE05-B086-4E3D-BCF6-BF1FF13EA7E6}"/>
    <hyperlink ref="O45" r:id="rId33" xr:uid="{C2708758-E5B5-40F1-9B95-29F0A930BB88}"/>
    <hyperlink ref="O46" r:id="rId34" xr:uid="{E2FDB0D2-C845-4EB3-8CC9-6821E946B9A4}"/>
    <hyperlink ref="O47" r:id="rId35" xr:uid="{7621AD9F-0CEE-4C2C-959E-5C19D024D5AE}"/>
    <hyperlink ref="O48" r:id="rId36" xr:uid="{18FA31FA-7579-423F-813D-8656B3757BC4}"/>
    <hyperlink ref="O49" r:id="rId37" xr:uid="{E95496A3-90D3-464D-9CB9-55107EB02949}"/>
    <hyperlink ref="O50" r:id="rId38" xr:uid="{A7D52740-EF28-43E8-A741-778B27810A9F}"/>
    <hyperlink ref="O51" r:id="rId39" xr:uid="{A74444AD-637A-45A8-80B2-A166225E546E}"/>
    <hyperlink ref="O52" r:id="rId40" xr:uid="{99E4CE73-95E3-4A24-A908-D226681D2AA3}"/>
    <hyperlink ref="O54" r:id="rId41" xr:uid="{121FAB1F-93D1-4C22-A18B-9D1FFE8C04C2}"/>
    <hyperlink ref="O56" r:id="rId42" xr:uid="{E70D5AAA-B10E-4536-BC9C-995C4495D900}"/>
    <hyperlink ref="O57" r:id="rId43" xr:uid="{87B36311-B92F-44F3-B656-033333C10E50}"/>
    <hyperlink ref="O58" r:id="rId44" xr:uid="{279E8D5A-92DE-49AF-824A-AB581D99CE8D}"/>
    <hyperlink ref="O59" r:id="rId45" xr:uid="{DFF7AF1A-C123-40F9-A758-572A6A34EFE5}"/>
    <hyperlink ref="O60" r:id="rId46" xr:uid="{2409EB3F-9530-4996-AF25-73F5C918D61B}"/>
  </hyperlinks>
  <pageMargins left="0.7" right="0.7" top="0.75" bottom="0.75" header="0.3" footer="0.3"/>
  <pageSetup orientation="portrait" r:id="rId47"/>
  <drawing r:id="rId48"/>
  <extLst>
    <ext xmlns:x14="http://schemas.microsoft.com/office/spreadsheetml/2009/9/main" uri="{CCE6A557-97BC-4b89-ADB6-D9C93CAAB3DF}">
      <x14:dataValidations xmlns:xm="http://schemas.microsoft.com/office/excel/2006/main" count="5">
        <x14:dataValidation type="list" allowBlank="1" showInputMessage="1" showErrorMessage="1" xr:uid="{F1CC3074-E575-4019-BD74-A62CA4247982}">
          <x14:formula1>
            <xm:f>'Trading recorded'!$I$19:$I$20</xm:f>
          </x14:formula1>
          <xm:sqref>I84:I108</xm:sqref>
        </x14:dataValidation>
        <x14:dataValidation type="list" allowBlank="1" showInputMessage="1" showErrorMessage="1" xr:uid="{5CCA9606-E15F-4FF1-B9C7-5AF6B123B064}">
          <x14:formula1>
            <xm:f>'Trading recorded'!$I$17:$I$20</xm:f>
          </x14:formula1>
          <xm:sqref>I4:I83</xm:sqref>
        </x14:dataValidation>
        <x14:dataValidation type="list" allowBlank="1" showInputMessage="1" showErrorMessage="1" xr:uid="{F3855C9D-AE82-4FDA-AEB9-F965A27B0C1F}">
          <x14:formula1>
            <xm:f>'Trading recorded'!$G$17:$G$18</xm:f>
          </x14:formula1>
          <xm:sqref>M4:M94</xm:sqref>
        </x14:dataValidation>
        <x14:dataValidation type="list" allowBlank="1" showInputMessage="1" showErrorMessage="1" xr:uid="{7FF04643-F7D3-49C3-BF86-83A8D6137000}">
          <x14:formula1>
            <xm:f>'Trading recorded'!$I$24:$I$26</xm:f>
          </x14:formula1>
          <xm:sqref>H4:H101</xm:sqref>
        </x14:dataValidation>
        <x14:dataValidation type="list" allowBlank="1" showInputMessage="1" showErrorMessage="1" xr:uid="{62DFAC31-3F7E-46CD-8880-23CB5C0FA004}">
          <x14:formula1>
            <xm:f>'Trading recorded'!G$24:G$26</xm:f>
          </x14:formula1>
          <xm:sqref>G4:G143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0951-AFA7-4BAD-AA9F-469B08E90F9A}">
  <dimension ref="A3:N24"/>
  <sheetViews>
    <sheetView workbookViewId="0">
      <selection activeCell="N17" sqref="N17"/>
    </sheetView>
  </sheetViews>
  <sheetFormatPr defaultRowHeight="14.5" x14ac:dyDescent="0.35"/>
  <cols>
    <col min="1" max="1" width="3.08984375" bestFit="1" customWidth="1"/>
  </cols>
  <sheetData>
    <row r="3" spans="1:14" x14ac:dyDescent="0.35">
      <c r="B3" t="s">
        <v>286</v>
      </c>
    </row>
    <row r="5" spans="1:14" x14ac:dyDescent="0.35">
      <c r="A5" s="38" t="s">
        <v>278</v>
      </c>
      <c r="B5" s="38" t="s">
        <v>279</v>
      </c>
      <c r="C5" s="38" t="s">
        <v>280</v>
      </c>
      <c r="D5" s="38" t="s">
        <v>281</v>
      </c>
      <c r="E5" s="38" t="s">
        <v>295</v>
      </c>
      <c r="F5" s="38" t="s">
        <v>145</v>
      </c>
      <c r="G5" s="38" t="s">
        <v>282</v>
      </c>
      <c r="H5" s="38" t="s">
        <v>283</v>
      </c>
      <c r="I5" s="38" t="s">
        <v>284</v>
      </c>
      <c r="J5" s="38" t="s">
        <v>285</v>
      </c>
      <c r="K5" s="38" t="s">
        <v>288</v>
      </c>
    </row>
    <row r="6" spans="1:14" x14ac:dyDescent="0.35">
      <c r="A6" s="37">
        <v>1</v>
      </c>
      <c r="B6" s="37">
        <v>2026</v>
      </c>
      <c r="C6" s="37">
        <v>5000</v>
      </c>
      <c r="D6" s="37">
        <f>C6*0.1</f>
        <v>500</v>
      </c>
      <c r="E6" s="37">
        <v>12</v>
      </c>
      <c r="F6" s="37">
        <v>2</v>
      </c>
      <c r="G6" s="37">
        <v>0.66</v>
      </c>
      <c r="H6" s="37">
        <f>C6+$E$6*(D6*F6*G6)</f>
        <v>12920</v>
      </c>
      <c r="I6" s="37">
        <f>12*D6*F6*G6</f>
        <v>7920</v>
      </c>
      <c r="J6" s="39" t="s">
        <v>276</v>
      </c>
      <c r="K6" s="37">
        <f t="shared" ref="K6:K11" si="0">H6-C7</f>
        <v>2920</v>
      </c>
    </row>
    <row r="7" spans="1:14" x14ac:dyDescent="0.35">
      <c r="A7" s="37">
        <v>2</v>
      </c>
      <c r="B7" s="37">
        <v>2027</v>
      </c>
      <c r="C7" s="37">
        <v>10000</v>
      </c>
      <c r="D7" s="37">
        <f t="shared" ref="D7:D8" si="1">C7*0.1</f>
        <v>1000</v>
      </c>
      <c r="E7" s="37">
        <v>12</v>
      </c>
      <c r="F7" s="37">
        <f>$F$6</f>
        <v>2</v>
      </c>
      <c r="G7" s="37">
        <f>$G$6</f>
        <v>0.66</v>
      </c>
      <c r="H7" s="37">
        <f t="shared" ref="H7:H12" si="2">C7+$E$6*(D7*F7*G7)</f>
        <v>25840</v>
      </c>
      <c r="I7" s="37">
        <f t="shared" ref="I7:I12" si="3">12*D7*F7*G7</f>
        <v>15840</v>
      </c>
      <c r="J7" s="39" t="s">
        <v>276</v>
      </c>
      <c r="K7" s="37">
        <f t="shared" si="0"/>
        <v>5840</v>
      </c>
    </row>
    <row r="8" spans="1:14" x14ac:dyDescent="0.35">
      <c r="A8" s="37">
        <v>3</v>
      </c>
      <c r="B8" s="37">
        <v>2028</v>
      </c>
      <c r="C8" s="37">
        <v>20000</v>
      </c>
      <c r="D8" s="37">
        <f t="shared" si="1"/>
        <v>2000</v>
      </c>
      <c r="E8" s="37">
        <v>12</v>
      </c>
      <c r="F8" s="37">
        <f t="shared" ref="F8:F12" si="4">$F$6</f>
        <v>2</v>
      </c>
      <c r="G8" s="37">
        <f t="shared" ref="G8:G12" si="5">$G$6</f>
        <v>0.66</v>
      </c>
      <c r="H8" s="37">
        <f t="shared" si="2"/>
        <v>51680</v>
      </c>
      <c r="I8" s="37">
        <f t="shared" si="3"/>
        <v>31680</v>
      </c>
      <c r="J8" s="39" t="s">
        <v>276</v>
      </c>
      <c r="K8" s="37">
        <f t="shared" si="0"/>
        <v>1680</v>
      </c>
      <c r="N8" t="s">
        <v>292</v>
      </c>
    </row>
    <row r="9" spans="1:14" x14ac:dyDescent="0.35">
      <c r="A9" s="37">
        <v>4</v>
      </c>
      <c r="B9" s="37">
        <v>2029</v>
      </c>
      <c r="C9" s="37">
        <v>50000</v>
      </c>
      <c r="D9" s="37">
        <f>C9*0.05</f>
        <v>2500</v>
      </c>
      <c r="E9" s="37">
        <v>12</v>
      </c>
      <c r="F9" s="37">
        <f t="shared" si="4"/>
        <v>2</v>
      </c>
      <c r="G9" s="37">
        <f t="shared" si="5"/>
        <v>0.66</v>
      </c>
      <c r="H9" s="37">
        <f t="shared" si="2"/>
        <v>89600</v>
      </c>
      <c r="I9" s="37">
        <f t="shared" si="3"/>
        <v>39600</v>
      </c>
      <c r="J9" s="40" t="s">
        <v>277</v>
      </c>
      <c r="K9" s="37">
        <f t="shared" si="0"/>
        <v>9600</v>
      </c>
      <c r="N9" t="s">
        <v>294</v>
      </c>
    </row>
    <row r="10" spans="1:14" x14ac:dyDescent="0.35">
      <c r="A10" s="37">
        <v>5</v>
      </c>
      <c r="B10" s="37">
        <v>2030</v>
      </c>
      <c r="C10" s="37">
        <v>80000</v>
      </c>
      <c r="D10" s="37">
        <f>C10*0.05</f>
        <v>4000</v>
      </c>
      <c r="E10" s="37">
        <v>12</v>
      </c>
      <c r="F10" s="37">
        <f t="shared" si="4"/>
        <v>2</v>
      </c>
      <c r="G10" s="37">
        <f t="shared" si="5"/>
        <v>0.66</v>
      </c>
      <c r="H10" s="37">
        <f t="shared" si="2"/>
        <v>143360</v>
      </c>
      <c r="I10" s="37">
        <f t="shared" si="3"/>
        <v>63360</v>
      </c>
      <c r="J10" s="40" t="s">
        <v>277</v>
      </c>
      <c r="K10" s="37">
        <f t="shared" si="0"/>
        <v>23360</v>
      </c>
      <c r="N10" t="s">
        <v>293</v>
      </c>
    </row>
    <row r="11" spans="1:14" x14ac:dyDescent="0.35">
      <c r="A11" s="37">
        <v>6</v>
      </c>
      <c r="B11" s="37">
        <v>2031</v>
      </c>
      <c r="C11" s="37">
        <v>120000</v>
      </c>
      <c r="D11" s="37">
        <f>C11*0.05</f>
        <v>6000</v>
      </c>
      <c r="E11" s="37">
        <v>12</v>
      </c>
      <c r="F11" s="37">
        <f t="shared" si="4"/>
        <v>2</v>
      </c>
      <c r="G11" s="37">
        <f t="shared" si="5"/>
        <v>0.66</v>
      </c>
      <c r="H11" s="37">
        <f t="shared" si="2"/>
        <v>215040</v>
      </c>
      <c r="I11" s="37">
        <f t="shared" si="3"/>
        <v>95040</v>
      </c>
      <c r="J11" s="40" t="s">
        <v>277</v>
      </c>
      <c r="K11" s="37">
        <f t="shared" si="0"/>
        <v>35040</v>
      </c>
    </row>
    <row r="12" spans="1:14" x14ac:dyDescent="0.35">
      <c r="A12" s="37">
        <v>7</v>
      </c>
      <c r="B12" s="37">
        <v>2032</v>
      </c>
      <c r="C12" s="37">
        <v>180000</v>
      </c>
      <c r="D12" s="37">
        <f>C12*0.05</f>
        <v>9000</v>
      </c>
      <c r="E12" s="37">
        <v>12</v>
      </c>
      <c r="F12" s="37">
        <f t="shared" si="4"/>
        <v>2</v>
      </c>
      <c r="G12" s="37">
        <f t="shared" si="5"/>
        <v>0.66</v>
      </c>
      <c r="H12" s="37">
        <f t="shared" si="2"/>
        <v>322560</v>
      </c>
      <c r="I12" s="37">
        <f t="shared" si="3"/>
        <v>142560</v>
      </c>
      <c r="J12" s="40" t="s">
        <v>277</v>
      </c>
      <c r="K12" s="37"/>
      <c r="L12">
        <f>SUM(K6:K11)</f>
        <v>78440</v>
      </c>
    </row>
    <row r="15" spans="1:14" x14ac:dyDescent="0.35">
      <c r="B15" t="s">
        <v>287</v>
      </c>
    </row>
    <row r="17" spans="1:12" x14ac:dyDescent="0.35">
      <c r="A17" s="38" t="s">
        <v>278</v>
      </c>
      <c r="B17" s="38" t="s">
        <v>279</v>
      </c>
      <c r="C17" s="38" t="s">
        <v>280</v>
      </c>
      <c r="D17" s="38" t="s">
        <v>281</v>
      </c>
      <c r="E17" s="38" t="s">
        <v>295</v>
      </c>
      <c r="F17" s="38" t="s">
        <v>145</v>
      </c>
      <c r="G17" s="38" t="s">
        <v>282</v>
      </c>
      <c r="H17" s="38" t="s">
        <v>283</v>
      </c>
      <c r="I17" s="38" t="s">
        <v>284</v>
      </c>
      <c r="J17" s="38" t="s">
        <v>285</v>
      </c>
      <c r="K17" s="38" t="s">
        <v>288</v>
      </c>
    </row>
    <row r="18" spans="1:12" x14ac:dyDescent="0.35">
      <c r="A18" s="37">
        <v>1</v>
      </c>
      <c r="B18" s="37">
        <v>2026</v>
      </c>
      <c r="C18" s="37">
        <v>3000</v>
      </c>
      <c r="D18" s="37">
        <f>C18*0.1</f>
        <v>300</v>
      </c>
      <c r="E18" s="37">
        <v>12</v>
      </c>
      <c r="F18" s="37">
        <v>2</v>
      </c>
      <c r="G18" s="37">
        <v>0.66</v>
      </c>
      <c r="H18" s="37">
        <f>C18+$E$18*(D18*F18*G18)</f>
        <v>7752</v>
      </c>
      <c r="I18" s="37">
        <f>12*D18*F18*G18</f>
        <v>4752</v>
      </c>
      <c r="J18" s="39" t="s">
        <v>276</v>
      </c>
      <c r="K18" s="37">
        <f t="shared" ref="K18:K23" si="6">H18-C19</f>
        <v>1752</v>
      </c>
    </row>
    <row r="19" spans="1:12" x14ac:dyDescent="0.35">
      <c r="A19" s="37">
        <v>2</v>
      </c>
      <c r="B19" s="37">
        <v>2027</v>
      </c>
      <c r="C19" s="37">
        <v>6000</v>
      </c>
      <c r="D19" s="37">
        <f t="shared" ref="D19:D20" si="7">C19*0.1</f>
        <v>600</v>
      </c>
      <c r="E19" s="37">
        <v>12</v>
      </c>
      <c r="F19" s="37">
        <f>$F$6</f>
        <v>2</v>
      </c>
      <c r="G19" s="37">
        <f>$G$6</f>
        <v>0.66</v>
      </c>
      <c r="H19" s="37">
        <f t="shared" ref="H19:H24" si="8">C19+$E$18*(D19*F19*G19)</f>
        <v>15504</v>
      </c>
      <c r="I19" s="37">
        <f t="shared" ref="I19:I24" si="9">12*D19*F19*G19</f>
        <v>9504</v>
      </c>
      <c r="J19" s="39" t="s">
        <v>276</v>
      </c>
      <c r="K19" s="37">
        <f t="shared" si="6"/>
        <v>3504</v>
      </c>
    </row>
    <row r="20" spans="1:12" x14ac:dyDescent="0.35">
      <c r="A20" s="37">
        <v>3</v>
      </c>
      <c r="B20" s="37">
        <v>2028</v>
      </c>
      <c r="C20" s="37">
        <v>12000</v>
      </c>
      <c r="D20" s="37">
        <f t="shared" si="7"/>
        <v>1200</v>
      </c>
      <c r="E20" s="37">
        <v>12</v>
      </c>
      <c r="F20" s="37">
        <f t="shared" ref="F20:F24" si="10">$F$6</f>
        <v>2</v>
      </c>
      <c r="G20" s="37">
        <f t="shared" ref="G20:G24" si="11">$G$6</f>
        <v>0.66</v>
      </c>
      <c r="H20" s="37">
        <f t="shared" si="8"/>
        <v>31008</v>
      </c>
      <c r="I20" s="37">
        <f t="shared" si="9"/>
        <v>19008</v>
      </c>
      <c r="J20" s="39" t="s">
        <v>276</v>
      </c>
      <c r="K20" s="37">
        <f t="shared" si="6"/>
        <v>6008</v>
      </c>
    </row>
    <row r="21" spans="1:12" x14ac:dyDescent="0.35">
      <c r="A21" s="37">
        <v>4</v>
      </c>
      <c r="B21" s="37">
        <v>2029</v>
      </c>
      <c r="C21" s="37">
        <v>25000</v>
      </c>
      <c r="D21" s="37">
        <f>C21*0.1</f>
        <v>2500</v>
      </c>
      <c r="E21" s="37">
        <v>12</v>
      </c>
      <c r="F21" s="37">
        <f t="shared" si="10"/>
        <v>2</v>
      </c>
      <c r="G21" s="37">
        <f t="shared" si="11"/>
        <v>0.66</v>
      </c>
      <c r="H21" s="37">
        <f t="shared" si="8"/>
        <v>64600</v>
      </c>
      <c r="I21" s="37">
        <f t="shared" si="9"/>
        <v>39600</v>
      </c>
      <c r="J21" s="39" t="s">
        <v>276</v>
      </c>
      <c r="K21" s="37">
        <f t="shared" si="6"/>
        <v>14600</v>
      </c>
    </row>
    <row r="22" spans="1:12" x14ac:dyDescent="0.35">
      <c r="A22" s="37">
        <v>5</v>
      </c>
      <c r="B22" s="37">
        <v>2030</v>
      </c>
      <c r="C22" s="37">
        <v>50000</v>
      </c>
      <c r="D22" s="37">
        <f>C22*0.05</f>
        <v>2500</v>
      </c>
      <c r="E22" s="37">
        <v>12</v>
      </c>
      <c r="F22" s="37">
        <f t="shared" si="10"/>
        <v>2</v>
      </c>
      <c r="G22" s="37">
        <f t="shared" si="11"/>
        <v>0.66</v>
      </c>
      <c r="H22" s="37">
        <f t="shared" si="8"/>
        <v>89600</v>
      </c>
      <c r="I22" s="37">
        <f t="shared" si="9"/>
        <v>39600</v>
      </c>
      <c r="J22" s="40" t="s">
        <v>277</v>
      </c>
      <c r="K22" s="37">
        <f t="shared" si="6"/>
        <v>14600</v>
      </c>
    </row>
    <row r="23" spans="1:12" x14ac:dyDescent="0.35">
      <c r="A23" s="37">
        <v>6</v>
      </c>
      <c r="B23" s="37">
        <v>2031</v>
      </c>
      <c r="C23" s="37">
        <v>75000</v>
      </c>
      <c r="D23" s="37">
        <f>C23*0.05</f>
        <v>3750</v>
      </c>
      <c r="E23" s="37">
        <v>12</v>
      </c>
      <c r="F23" s="37">
        <f t="shared" si="10"/>
        <v>2</v>
      </c>
      <c r="G23" s="37">
        <f t="shared" si="11"/>
        <v>0.66</v>
      </c>
      <c r="H23" s="37">
        <f t="shared" si="8"/>
        <v>134400</v>
      </c>
      <c r="I23" s="37">
        <f t="shared" si="9"/>
        <v>59400</v>
      </c>
      <c r="J23" s="40" t="s">
        <v>277</v>
      </c>
      <c r="K23" s="37">
        <f t="shared" si="6"/>
        <v>14400</v>
      </c>
    </row>
    <row r="24" spans="1:12" x14ac:dyDescent="0.35">
      <c r="A24" s="37">
        <v>7</v>
      </c>
      <c r="B24" s="37">
        <v>2032</v>
      </c>
      <c r="C24" s="37">
        <v>120000</v>
      </c>
      <c r="D24" s="37">
        <f>C24*0.05</f>
        <v>6000</v>
      </c>
      <c r="E24" s="37">
        <v>12</v>
      </c>
      <c r="F24" s="37">
        <f t="shared" si="10"/>
        <v>2</v>
      </c>
      <c r="G24" s="37">
        <f t="shared" si="11"/>
        <v>0.66</v>
      </c>
      <c r="H24" s="37">
        <f t="shared" si="8"/>
        <v>215040</v>
      </c>
      <c r="I24" s="37">
        <f t="shared" si="9"/>
        <v>95040</v>
      </c>
      <c r="J24" s="40" t="s">
        <v>277</v>
      </c>
      <c r="K24" s="37"/>
      <c r="L24">
        <f>SUM(K18:K24)</f>
        <v>54864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2695-4203-419F-B517-1810A40C30B8}">
  <dimension ref="A1:M47"/>
  <sheetViews>
    <sheetView tabSelected="1" topLeftCell="A12" workbookViewId="0">
      <selection activeCell="D43" sqref="D43"/>
    </sheetView>
  </sheetViews>
  <sheetFormatPr defaultRowHeight="14.5" x14ac:dyDescent="0.35"/>
  <cols>
    <col min="11" max="11" width="15.08984375" customWidth="1"/>
    <col min="12" max="12" width="10.54296875" customWidth="1"/>
  </cols>
  <sheetData>
    <row r="1" spans="1:13" ht="21" x14ac:dyDescent="0.5">
      <c r="B1" s="28" t="s">
        <v>347</v>
      </c>
      <c r="C1" s="28"/>
    </row>
    <row r="2" spans="1:13" x14ac:dyDescent="0.35">
      <c r="B2" t="s">
        <v>324</v>
      </c>
      <c r="C2">
        <v>1500</v>
      </c>
    </row>
    <row r="3" spans="1:13" x14ac:dyDescent="0.35">
      <c r="B3" t="s">
        <v>145</v>
      </c>
      <c r="C3">
        <v>2</v>
      </c>
      <c r="D3">
        <v>1</v>
      </c>
      <c r="J3" t="s">
        <v>280</v>
      </c>
      <c r="K3" t="s">
        <v>335</v>
      </c>
      <c r="L3" t="s">
        <v>281</v>
      </c>
      <c r="M3" t="s">
        <v>336</v>
      </c>
    </row>
    <row r="4" spans="1:13" x14ac:dyDescent="0.35">
      <c r="B4" t="s">
        <v>323</v>
      </c>
      <c r="C4" s="25">
        <v>0.7</v>
      </c>
      <c r="D4" s="25">
        <v>0.3</v>
      </c>
      <c r="J4" t="s">
        <v>334</v>
      </c>
      <c r="K4" t="s">
        <v>333</v>
      </c>
      <c r="L4" t="s">
        <v>337</v>
      </c>
      <c r="M4" t="s">
        <v>338</v>
      </c>
    </row>
    <row r="5" spans="1:13" x14ac:dyDescent="0.35">
      <c r="B5" t="s">
        <v>281</v>
      </c>
      <c r="C5" s="25">
        <v>0.02</v>
      </c>
      <c r="D5">
        <f>C2*C5</f>
        <v>30</v>
      </c>
      <c r="J5" t="s">
        <v>339</v>
      </c>
      <c r="K5" t="s">
        <v>340</v>
      </c>
      <c r="L5" t="s">
        <v>341</v>
      </c>
      <c r="M5" t="s">
        <v>342</v>
      </c>
    </row>
    <row r="6" spans="1:13" x14ac:dyDescent="0.35">
      <c r="B6" t="s">
        <v>295</v>
      </c>
      <c r="C6">
        <v>12</v>
      </c>
      <c r="E6" t="s">
        <v>325</v>
      </c>
      <c r="J6" t="s">
        <v>343</v>
      </c>
      <c r="K6" t="s">
        <v>344</v>
      </c>
      <c r="L6" t="s">
        <v>345</v>
      </c>
      <c r="M6" t="s">
        <v>346</v>
      </c>
    </row>
    <row r="7" spans="1:13" x14ac:dyDescent="0.35">
      <c r="E7" t="s">
        <v>326</v>
      </c>
    </row>
    <row r="8" spans="1:13" x14ac:dyDescent="0.35">
      <c r="B8" t="s">
        <v>327</v>
      </c>
      <c r="C8">
        <f>C2*C3*C4*C5*C6</f>
        <v>504</v>
      </c>
    </row>
    <row r="9" spans="1:13" x14ac:dyDescent="0.35">
      <c r="B9" t="s">
        <v>328</v>
      </c>
      <c r="C9">
        <f>C2*D3*D4*C5*C6</f>
        <v>108</v>
      </c>
    </row>
    <row r="10" spans="1:13" x14ac:dyDescent="0.35">
      <c r="B10" t="s">
        <v>329</v>
      </c>
      <c r="C10">
        <f>C8-C9</f>
        <v>396</v>
      </c>
      <c r="D10" s="32">
        <f>C10/C2</f>
        <v>0.26400000000000001</v>
      </c>
      <c r="E10" t="s">
        <v>330</v>
      </c>
    </row>
    <row r="13" spans="1:13" x14ac:dyDescent="0.35">
      <c r="B13" t="s">
        <v>331</v>
      </c>
    </row>
    <row r="14" spans="1:13" x14ac:dyDescent="0.35">
      <c r="A14" t="s">
        <v>332</v>
      </c>
      <c r="B14">
        <v>6</v>
      </c>
      <c r="C14">
        <f>$C$2*(1+$D$10)^B14</f>
        <v>6117.4961222493139</v>
      </c>
      <c r="D14">
        <f>C14-$C$2</f>
        <v>4617.4961222493139</v>
      </c>
    </row>
    <row r="15" spans="1:13" x14ac:dyDescent="0.35">
      <c r="B15">
        <v>12</v>
      </c>
      <c r="C15">
        <f t="shared" ref="C15" si="0">$C$2*(1+$D$10)^B15</f>
        <v>24949.172537156934</v>
      </c>
      <c r="D15">
        <f>C15-$C$2</f>
        <v>23449.172537156934</v>
      </c>
    </row>
    <row r="18" spans="1:4" ht="21" x14ac:dyDescent="0.5">
      <c r="B18" s="28" t="s">
        <v>348</v>
      </c>
      <c r="C18" s="28"/>
      <c r="D18" s="28"/>
    </row>
    <row r="19" spans="1:4" x14ac:dyDescent="0.35">
      <c r="B19" t="s">
        <v>324</v>
      </c>
      <c r="C19">
        <v>10000</v>
      </c>
    </row>
    <row r="20" spans="1:4" x14ac:dyDescent="0.35">
      <c r="B20" t="s">
        <v>145</v>
      </c>
      <c r="C20">
        <v>2.5</v>
      </c>
      <c r="D20">
        <v>1</v>
      </c>
    </row>
    <row r="21" spans="1:4" x14ac:dyDescent="0.35">
      <c r="B21" t="s">
        <v>323</v>
      </c>
      <c r="C21" s="25">
        <v>0.7</v>
      </c>
      <c r="D21" s="25">
        <v>0.3</v>
      </c>
    </row>
    <row r="22" spans="1:4" x14ac:dyDescent="0.35">
      <c r="B22" t="s">
        <v>281</v>
      </c>
      <c r="C22" s="25">
        <v>0.01</v>
      </c>
      <c r="D22">
        <f>C19*C22</f>
        <v>100</v>
      </c>
    </row>
    <row r="23" spans="1:4" x14ac:dyDescent="0.35">
      <c r="B23" t="s">
        <v>295</v>
      </c>
      <c r="C23">
        <v>12</v>
      </c>
    </row>
    <row r="25" spans="1:4" x14ac:dyDescent="0.35">
      <c r="B25" t="s">
        <v>327</v>
      </c>
      <c r="C25">
        <f>C19*C20*C21*C22*C23</f>
        <v>2100</v>
      </c>
    </row>
    <row r="26" spans="1:4" x14ac:dyDescent="0.35">
      <c r="B26" t="s">
        <v>328</v>
      </c>
      <c r="C26">
        <f>C19*D20*D21*C22*C23</f>
        <v>360</v>
      </c>
    </row>
    <row r="27" spans="1:4" x14ac:dyDescent="0.35">
      <c r="B27" t="s">
        <v>329</v>
      </c>
      <c r="C27">
        <f>C25-C26</f>
        <v>1740</v>
      </c>
      <c r="D27" s="32">
        <f>C27/C19</f>
        <v>0.17399999999999999</v>
      </c>
    </row>
    <row r="29" spans="1:4" x14ac:dyDescent="0.35">
      <c r="B29" t="s">
        <v>331</v>
      </c>
    </row>
    <row r="30" spans="1:4" x14ac:dyDescent="0.35">
      <c r="A30" t="s">
        <v>332</v>
      </c>
      <c r="B30">
        <v>6</v>
      </c>
      <c r="C30">
        <f>$C$19*(1+$D$27)^B30</f>
        <v>26182.347428846078</v>
      </c>
      <c r="D30">
        <f>C30-$C$19</f>
        <v>16182.347428846078</v>
      </c>
    </row>
    <row r="31" spans="1:4" x14ac:dyDescent="0.35">
      <c r="B31">
        <v>12</v>
      </c>
      <c r="C31">
        <f>$C$19*(1+$D$27)^B31</f>
        <v>68551.531688480274</v>
      </c>
      <c r="D31">
        <f>C31-$C$19</f>
        <v>58551.531688480274</v>
      </c>
    </row>
    <row r="34" spans="1:4" ht="21" x14ac:dyDescent="0.5">
      <c r="B34" s="28" t="s">
        <v>349</v>
      </c>
    </row>
    <row r="35" spans="1:4" x14ac:dyDescent="0.35">
      <c r="B35" t="s">
        <v>324</v>
      </c>
      <c r="C35">
        <v>100000</v>
      </c>
    </row>
    <row r="36" spans="1:4" x14ac:dyDescent="0.35">
      <c r="B36" t="s">
        <v>145</v>
      </c>
      <c r="C36">
        <v>2.5</v>
      </c>
      <c r="D36">
        <v>1</v>
      </c>
    </row>
    <row r="37" spans="1:4" x14ac:dyDescent="0.35">
      <c r="B37" t="s">
        <v>323</v>
      </c>
      <c r="C37" s="25">
        <v>0.7</v>
      </c>
      <c r="D37" s="25">
        <v>0.3</v>
      </c>
    </row>
    <row r="38" spans="1:4" x14ac:dyDescent="0.35">
      <c r="B38" t="s">
        <v>281</v>
      </c>
      <c r="C38" s="44">
        <v>3.0000000000000001E-3</v>
      </c>
      <c r="D38">
        <f>C35*C38</f>
        <v>300</v>
      </c>
    </row>
    <row r="39" spans="1:4" x14ac:dyDescent="0.35">
      <c r="B39" t="s">
        <v>295</v>
      </c>
      <c r="C39">
        <v>12</v>
      </c>
    </row>
    <row r="41" spans="1:4" x14ac:dyDescent="0.35">
      <c r="B41" t="s">
        <v>327</v>
      </c>
      <c r="C41">
        <f>C35*C36*C37*C38*C39</f>
        <v>6300</v>
      </c>
    </row>
    <row r="42" spans="1:4" x14ac:dyDescent="0.35">
      <c r="B42" t="s">
        <v>328</v>
      </c>
      <c r="C42">
        <f>C35*D36*D37*C38*C39</f>
        <v>1080</v>
      </c>
    </row>
    <row r="43" spans="1:4" x14ac:dyDescent="0.35">
      <c r="B43" t="s">
        <v>329</v>
      </c>
      <c r="C43">
        <f>C41-C42</f>
        <v>5220</v>
      </c>
      <c r="D43" s="32">
        <f>C43/C35</f>
        <v>5.2200000000000003E-2</v>
      </c>
    </row>
    <row r="45" spans="1:4" x14ac:dyDescent="0.35">
      <c r="B45" t="s">
        <v>331</v>
      </c>
    </row>
    <row r="46" spans="1:4" x14ac:dyDescent="0.35">
      <c r="A46" t="s">
        <v>332</v>
      </c>
      <c r="B46">
        <v>6</v>
      </c>
      <c r="C46">
        <f>$C$35*(1+$D$43)^B46</f>
        <v>135703.10499192958</v>
      </c>
      <c r="D46">
        <f>C46-$C$35</f>
        <v>35703.104991929576</v>
      </c>
    </row>
    <row r="47" spans="1:4" x14ac:dyDescent="0.35">
      <c r="B47">
        <v>12</v>
      </c>
      <c r="C47">
        <f>$C$35*(1+$D$43)^B47</f>
        <v>184153.32704450656</v>
      </c>
      <c r="D47">
        <f>C47-$C$35</f>
        <v>84153.327044506557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Trading recorded</vt:lpstr>
      <vt:lpstr>March 2026</vt:lpstr>
      <vt:lpstr>ETFs</vt:lpstr>
      <vt:lpstr>Productivity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2026-02-26T14:37:39Z</dcterms:created>
  <dcterms:modified xsi:type="dcterms:W3CDTF">2026-03-26T09:30:15Z</dcterms:modified>
</cp:coreProperties>
</file>